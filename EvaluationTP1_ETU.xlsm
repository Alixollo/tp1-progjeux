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03-Evaluations\TP1\"/>
    </mc:Choice>
  </mc:AlternateContent>
  <xr:revisionPtr revIDLastSave="0" documentId="13_ncr:1_{0FF908F9-3FA1-4516-B680-0AABBE0E62BA}" xr6:coauthVersionLast="47" xr6:coauthVersionMax="47" xr10:uidLastSave="{00000000-0000-0000-0000-000000000000}"/>
  <bookViews>
    <workbookView xWindow="38025" yWindow="2115" windowWidth="24120" windowHeight="28575" tabRatio="913" xr2:uid="{00000000-000D-0000-FFFF-FFFF00000000}"/>
  </bookViews>
  <sheets>
    <sheet name="Evaluation" sheetId="11" r:id="rId1"/>
  </sheets>
  <definedNames>
    <definedName name="__CIC1" localSheetId="0">Evaluation!#REF!</definedName>
    <definedName name="__CIC1">#REF!</definedName>
    <definedName name="__SP1" localSheetId="0">Evaluation!#REF!</definedName>
    <definedName name="__SP1">#REF!</definedName>
    <definedName name="__VCN1" localSheetId="0">Evaluation!#REF!</definedName>
    <definedName name="__VCN1">#REF!</definedName>
    <definedName name="__VCN2" localSheetId="0">Evaluation!#REF!</definedName>
    <definedName name="__VCN2">#REF!</definedName>
    <definedName name="_ARCH">#REF!</definedName>
    <definedName name="_CC" localSheetId="0">Evaluation!$B$120</definedName>
    <definedName name="_CC">#REF!</definedName>
    <definedName name="_CIC" localSheetId="0">Evaluation!$B$114</definedName>
    <definedName name="_CIC">#REF!</definedName>
    <definedName name="_CIC1" localSheetId="0">Evaluation!$B$114</definedName>
    <definedName name="_CIC1">#REF!</definedName>
    <definedName name="_CIC2" localSheetId="0">Evaluation!$B$117</definedName>
    <definedName name="_CIC2">#REF!</definedName>
    <definedName name="_CONST" localSheetId="0">Evaluation!$B$116</definedName>
    <definedName name="_CONST">#REF!</definedName>
    <definedName name="_DUP" localSheetId="0">Evaluation!$B$120</definedName>
    <definedName name="_DUP">#REF!</definedName>
    <definedName name="_FCN" localSheetId="0">Evaluation!$B$113</definedName>
    <definedName name="_FCN">#REF!</definedName>
    <definedName name="_MC1" localSheetId="0">Evaluation!#REF!</definedName>
    <definedName name="_MC1">#REF!</definedName>
    <definedName name="_MC2" localSheetId="0">Evaluation!#REF!</definedName>
    <definedName name="_MC2">#REF!</definedName>
    <definedName name="_MC3" localSheetId="0">Evaluation!#REF!</definedName>
    <definedName name="_MC3">#REF!</definedName>
    <definedName name="_REF">Evaluation!$B$115</definedName>
    <definedName name="_SP" localSheetId="0">Evaluation!$B$117</definedName>
    <definedName name="_SP">#REF!</definedName>
    <definedName name="_SP1" localSheetId="0">Evaluation!#REF!</definedName>
    <definedName name="_SP1">#REF!</definedName>
    <definedName name="_SP2" localSheetId="0">Evaluation!#REF!</definedName>
    <definedName name="_SP2">#REF!</definedName>
    <definedName name="_SP3" localSheetId="0">Evaluation!#REF!</definedName>
    <definedName name="_SP3">#REF!</definedName>
    <definedName name="_TDA" localSheetId="0">Evaluation!$B$111</definedName>
    <definedName name="_TDA">#REF!</definedName>
    <definedName name="_VCN" localSheetId="0">Evaluation!$B$112</definedName>
    <definedName name="_VCN">#REF!</definedName>
    <definedName name="_VCN1" localSheetId="0">Evaluation!$B$112</definedName>
    <definedName name="_VCN1">#REF!</definedName>
    <definedName name="_VCN2" localSheetId="0">Evaluation!$B$113</definedName>
    <definedName name="_VCN2">#REF!</definedName>
    <definedName name="FCT" localSheetId="0">Evaluation!$B$119</definedName>
    <definedName name="FCT">#REF!</definedName>
    <definedName name="Print_Area" localSheetId="0">Evaluation!$A$1:$N$108</definedName>
    <definedName name="total" localSheetId="0">Evaluation!$N$108</definedName>
    <definedName name="total">#REF!</definedName>
    <definedName name="_xlnm.Print_Area" localSheetId="0">Evaluation!$A$1:$N$108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87" i="11" l="1"/>
  <c r="N8" i="11"/>
  <c r="A72" i="11"/>
  <c r="N74" i="11"/>
  <c r="N102" i="11"/>
  <c r="N107" i="11"/>
  <c r="N106" i="11"/>
  <c r="N103" i="11"/>
  <c r="N101" i="11"/>
  <c r="N100" i="11"/>
  <c r="A99" i="11"/>
  <c r="A85" i="11"/>
  <c r="N64" i="11"/>
  <c r="N52" i="11"/>
  <c r="A50" i="11"/>
  <c r="N38" i="11"/>
  <c r="A36" i="11"/>
  <c r="N24" i="11"/>
  <c r="A22" i="11"/>
  <c r="A6" i="11"/>
  <c r="N108" i="11" l="1"/>
</calcChain>
</file>

<file path=xl/sharedStrings.xml><?xml version="1.0" encoding="utf-8"?>
<sst xmlns="http://schemas.openxmlformats.org/spreadsheetml/2006/main" count="127" uniqueCount="77">
  <si>
    <t>Grille d'évaluation</t>
  </si>
  <si>
    <t>Notes partielles</t>
  </si>
  <si>
    <t>Pondérations</t>
  </si>
  <si>
    <t>Notes pondérée</t>
  </si>
  <si>
    <t>Commentaires généraux</t>
  </si>
  <si>
    <t>Qualité du code</t>
  </si>
  <si>
    <t>Pénalité si retard:</t>
  </si>
  <si>
    <t>Qualité du français</t>
  </si>
  <si>
    <t>Nb fautes:</t>
  </si>
  <si>
    <t>Total:</t>
  </si>
  <si>
    <t>NON</t>
  </si>
  <si>
    <t>Pondérations accordées aux différents code de correction</t>
  </si>
  <si>
    <t>TDA</t>
  </si>
  <si>
    <t>Autre(s) : voir commentaires ci-après</t>
  </si>
  <si>
    <t>Autres</t>
  </si>
  <si>
    <t>Le code des instructions est clair. En particulier, les structures de contrôle adéquates ont été utilisées selon les standards. (CIC)</t>
  </si>
  <si>
    <t xml:space="preserve">L'archive n'a pas été remis dans le format .zip </t>
  </si>
  <si>
    <t>Le projet remis ne compile pas ou n'est pas fonctionnel</t>
  </si>
  <si>
    <t>Les types de données utilisés sont adéquats. En particulier, des constantes ont été utilisées chaque fois que cela était adéquat et pertinent. (TDA)</t>
  </si>
  <si>
    <t>VCN</t>
  </si>
  <si>
    <t>FCN</t>
  </si>
  <si>
    <r>
      <t>Les standards de programmation du cours ont été suivis notamment le respect du principe "</t>
    </r>
    <r>
      <rPr>
        <i/>
        <sz val="11"/>
        <color theme="1"/>
        <rFont val="Calibri"/>
        <family val="2"/>
        <scheme val="minor"/>
      </rPr>
      <t>DRY</t>
    </r>
    <r>
      <rPr>
        <sz val="11"/>
        <color theme="1"/>
        <rFont val="Calibri"/>
        <family val="2"/>
        <scheme val="minor"/>
      </rPr>
      <t>". (SP)</t>
    </r>
  </si>
  <si>
    <t>CIC</t>
  </si>
  <si>
    <t>SP</t>
  </si>
  <si>
    <t>FCT</t>
  </si>
  <si>
    <t>D'autres fichiers autre que ceux demandés  ont été remis dans l'archive</t>
  </si>
  <si>
    <t>Les variables (VCN) et méthodes (FCN) sont correctement nommées et leurs noms sont représentatifs de leurs contenus ou rôles.</t>
  </si>
  <si>
    <t>Les appels de méthodes existantes ont été faits chaque fois que cela était pertinent</t>
  </si>
  <si>
    <t>Travail pratique #1</t>
  </si>
  <si>
    <t>420-W42-SF Programmation de jeux vidéo 1</t>
  </si>
  <si>
    <t>Pondération: 30%</t>
  </si>
  <si>
    <t>Fonctionnalités</t>
  </si>
  <si>
    <t>Le joueur ne peut pas sortir des limites de la surface de jeu</t>
  </si>
  <si>
    <t>Le joueur se déplace correctement dans l'environnement et dans la direction dans laquelle il est orienté</t>
  </si>
  <si>
    <t>Le joueur peut tirer des projectiles</t>
  </si>
  <si>
    <t>Le joueur meurt s'il est touché par un ennemi</t>
  </si>
  <si>
    <t>Le joueur est invincible 3 secondes après avoir été touché</t>
  </si>
  <si>
    <t>Les ennemis apparaissent à un rythme assez constant</t>
  </si>
  <si>
    <t>Les ennemis sont pré-créés et aucun d'eux n'est ajouté dynamiquement pendant le jeu</t>
  </si>
  <si>
    <t>Les ennemis se dirigent vers le personnage principal</t>
  </si>
  <si>
    <t>Les ennemis se sauve du personnage principal lorsque ce dernier réapparaît.</t>
  </si>
  <si>
    <t>Le monde est plus grand que la surface affichée</t>
  </si>
  <si>
    <t>La "caméra" suit adéquatement le joueur à l'intérieur de la surface du jeu</t>
  </si>
  <si>
    <t>La "caméra" suit adéquatement le joueur aux extrémités de la surface du jeu</t>
  </si>
  <si>
    <t>Un ennemi détruit ajoute des points au joueur</t>
  </si>
  <si>
    <t>Les points associés à l'ennemi sont affichés à l'endroit où ce dernier est détruit</t>
  </si>
  <si>
    <t>Les ennemis apparaissent à une distance minimale du personnage principal</t>
  </si>
  <si>
    <t>Les entrées</t>
  </si>
  <si>
    <t>Les entrées sont lues correctement et au bon endroit dans le code</t>
  </si>
  <si>
    <t>Le personnage principal dispose d'un nombre infini de projectiles</t>
  </si>
  <si>
    <t>Les projectiles sont pré-créés et aucun d'eux n'est ajouté dynamiquement pendant la partie</t>
  </si>
  <si>
    <t>Les projectiles qui sortent de la surface de jeu sont désactivés</t>
  </si>
  <si>
    <t>Le modificateur const a été utilisé chaque fois que cela était nécessaire et opportun</t>
  </si>
  <si>
    <t>CONST</t>
  </si>
  <si>
    <t>Un ennemi qui reçoit un projectile est détruit et retourné dans son pool</t>
  </si>
  <si>
    <t>Un masque de saisie est utilisé</t>
  </si>
  <si>
    <t>Un son est émis lorsqu'un projectile est lancé</t>
  </si>
  <si>
    <t>Les instances de classes sont passées et retournées par références</t>
  </si>
  <si>
    <t>REF</t>
  </si>
  <si>
    <t>Le projet génère des avertissements lors de la compilation</t>
  </si>
  <si>
    <t>Un bonus apparaît aléatoirement lorsqu'un ennemi meurt.</t>
  </si>
  <si>
    <t>Le personnage principal peut récupérer ce bonus</t>
  </si>
  <si>
    <t>Le bonus permet au personnage principal d'utiliser une arme spécial pendant 5 secondes de plus.</t>
  </si>
  <si>
    <t>Les bonus sont pré-créés et aucun d'eux n'est ajouté dynamiquement pendant le jeu.</t>
  </si>
  <si>
    <t>Un bonus récupéré est désactivé et retourne dans le pool de bonus</t>
  </si>
  <si>
    <t>Un son est émis lorsqu'un bonus est récupéré</t>
  </si>
  <si>
    <t>Deux types de projectiles sont disponibles</t>
  </si>
  <si>
    <t>Les projectiles normaux qui atteignent un ennemi sont retournés dans le pool de projectiles</t>
  </si>
  <si>
    <t>Les projectiles spéciaux qui atteignent un ennemi ne sont pas détruits.</t>
  </si>
  <si>
    <t>Le joueur dispose de 5 vies et en gagne une nouvelle par tranche de X points</t>
  </si>
  <si>
    <t>Il est possible de mettre le jeu en pause</t>
  </si>
  <si>
    <t>La partie se termine quand le joueur n'a plus de vie</t>
  </si>
  <si>
    <t>Le pointage et le nombre de vies restantes du joueur sont affichés à l'écran</t>
  </si>
  <si>
    <t>Le joueur qui a récupéré un bonus est affiché avec une teinte dorée</t>
  </si>
  <si>
    <t>Le joueur qui est en état de bonus ne meurt pas s’il est touché. Par contre son état de bonus prend fin et l’ennemi est neutralisé.</t>
  </si>
  <si>
    <t>Un découpage et une architecture appropriés ont été utilisé</t>
  </si>
  <si>
    <t>ARCH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</si>
</sst>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8">
    <xf numFmtId="0" fontId="0" fillId="0" borderId="0" xfId="0"/>
    <xf numFmtId="0" fontId="0" fillId="0" borderId="0" xfId="0" applyAlignment="1">
      <alignment horizontal="center" vertical="center" wrapText="1"/>
    </xf>
    <xf numFmtId="0" fontId="0" fillId="2" borderId="11" xfId="0" applyFill="1" applyBorder="1"/>
    <xf numFmtId="0" fontId="2" fillId="2" borderId="10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4" xfId="0" applyBorder="1"/>
    <xf numFmtId="0" fontId="0" fillId="0" borderId="0" xfId="0" applyBorder="1" applyAlignment="1">
      <alignment horizontal="center" vertical="center" wrapText="1"/>
    </xf>
    <xf numFmtId="0" fontId="4" fillId="0" borderId="0" xfId="0" applyFont="1" applyBorder="1"/>
    <xf numFmtId="9" fontId="0" fillId="0" borderId="17" xfId="1" applyFont="1" applyBorder="1" applyAlignment="1">
      <alignment horizontal="center" vertical="center" wrapText="1"/>
    </xf>
    <xf numFmtId="0" fontId="0" fillId="0" borderId="4" xfId="0" applyBorder="1" applyAlignment="1">
      <alignment horizontal="justify" vertical="center" wrapText="1"/>
    </xf>
    <xf numFmtId="0" fontId="0" fillId="0" borderId="6" xfId="0" applyBorder="1"/>
    <xf numFmtId="0" fontId="0" fillId="0" borderId="7" xfId="0" applyBorder="1" applyAlignment="1">
      <alignment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2" fillId="0" borderId="4" xfId="0" applyFont="1" applyBorder="1"/>
    <xf numFmtId="0" fontId="0" fillId="0" borderId="0" xfId="0" applyAlignment="1">
      <alignment wrapText="1"/>
    </xf>
    <xf numFmtId="0" fontId="0" fillId="2" borderId="10" xfId="0" applyFill="1" applyBorder="1" applyAlignment="1">
      <alignment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right" vertical="center" wrapText="1"/>
    </xf>
    <xf numFmtId="9" fontId="0" fillId="0" borderId="3" xfId="1" applyFont="1" applyBorder="1" applyAlignment="1">
      <alignment horizontal="center" vertical="center" wrapText="1"/>
    </xf>
    <xf numFmtId="0" fontId="0" fillId="0" borderId="4" xfId="0" applyBorder="1" applyAlignment="1">
      <alignment horizontal="right" vertical="center" wrapText="1"/>
    </xf>
    <xf numFmtId="0" fontId="0" fillId="0" borderId="6" xfId="0" applyBorder="1" applyAlignment="1">
      <alignment horizontal="right"/>
    </xf>
    <xf numFmtId="0" fontId="0" fillId="0" borderId="6" xfId="0" applyBorder="1" applyAlignment="1">
      <alignment horizontal="right" vertical="center" wrapText="1"/>
    </xf>
    <xf numFmtId="0" fontId="0" fillId="0" borderId="7" xfId="0" applyBorder="1" applyAlignment="1">
      <alignment horizontal="right" vertical="center" wrapText="1"/>
    </xf>
    <xf numFmtId="164" fontId="2" fillId="0" borderId="8" xfId="1" applyNumberFormat="1" applyFont="1" applyBorder="1" applyAlignment="1">
      <alignment horizontal="center" vertical="center" wrapText="1"/>
    </xf>
    <xf numFmtId="164" fontId="0" fillId="0" borderId="5" xfId="1" applyNumberFormat="1" applyFont="1" applyBorder="1" applyAlignment="1">
      <alignment horizontal="center" vertical="center" wrapText="1"/>
    </xf>
    <xf numFmtId="0" fontId="0" fillId="2" borderId="10" xfId="0" applyFill="1" applyBorder="1"/>
    <xf numFmtId="0" fontId="2" fillId="0" borderId="9" xfId="0" applyFont="1" applyBorder="1"/>
    <xf numFmtId="0" fontId="0" fillId="0" borderId="10" xfId="0" applyBorder="1"/>
    <xf numFmtId="0" fontId="0" fillId="0" borderId="11" xfId="0" applyBorder="1"/>
    <xf numFmtId="0" fontId="0" fillId="0" borderId="21" xfId="0" applyFont="1" applyBorder="1"/>
    <xf numFmtId="0" fontId="0" fillId="0" borderId="22" xfId="0" applyBorder="1"/>
    <xf numFmtId="0" fontId="0" fillId="0" borderId="23" xfId="0" applyBorder="1"/>
    <xf numFmtId="0" fontId="4" fillId="0" borderId="0" xfId="0" applyFont="1" applyBorder="1" applyAlignment="1">
      <alignment horizontal="left" vertical="center" wrapText="1"/>
    </xf>
    <xf numFmtId="0" fontId="0" fillId="0" borderId="4" xfId="0" applyBorder="1" applyAlignment="1">
      <alignment horizontal="center" vertical="center" wrapText="1"/>
    </xf>
    <xf numFmtId="9" fontId="0" fillId="0" borderId="5" xfId="1" applyFont="1" applyBorder="1" applyAlignment="1">
      <alignment horizontal="center" vertical="center" wrapText="1"/>
    </xf>
    <xf numFmtId="9" fontId="0" fillId="0" borderId="15" xfId="0" applyNumberFormat="1" applyBorder="1" applyAlignment="1">
      <alignment vertical="center" wrapText="1"/>
    </xf>
    <xf numFmtId="9" fontId="0" fillId="0" borderId="16" xfId="0" applyNumberFormat="1" applyBorder="1" applyAlignment="1">
      <alignment vertical="center" wrapText="1"/>
    </xf>
    <xf numFmtId="164" fontId="0" fillId="0" borderId="17" xfId="1" applyNumberFormat="1" applyFont="1" applyBorder="1" applyAlignment="1">
      <alignment vertical="center" wrapText="1"/>
    </xf>
    <xf numFmtId="0" fontId="0" fillId="3" borderId="0" xfId="0" applyFill="1" applyBorder="1" applyAlignment="1">
      <alignment horizontal="right" vertical="center" wrapText="1"/>
    </xf>
    <xf numFmtId="0" fontId="0" fillId="3" borderId="2" xfId="0" applyNumberFormat="1" applyFill="1" applyBorder="1" applyAlignment="1">
      <alignment horizontal="right" vertical="center" wrapText="1"/>
    </xf>
    <xf numFmtId="0" fontId="0" fillId="0" borderId="0" xfId="0" applyBorder="1" applyAlignment="1">
      <alignment wrapText="1"/>
    </xf>
    <xf numFmtId="9" fontId="0" fillId="0" borderId="15" xfId="0" applyNumberFormat="1" applyBorder="1" applyAlignment="1">
      <alignment horizontal="center" vertical="center" wrapText="1"/>
    </xf>
    <xf numFmtId="9" fontId="0" fillId="0" borderId="16" xfId="0" applyNumberFormat="1" applyBorder="1" applyAlignment="1">
      <alignment horizontal="center" vertical="center" wrapText="1"/>
    </xf>
    <xf numFmtId="164" fontId="0" fillId="0" borderId="17" xfId="1" applyNumberFormat="1" applyFont="1" applyBorder="1" applyAlignment="1">
      <alignment horizontal="center" vertical="center" wrapText="1"/>
    </xf>
    <xf numFmtId="0" fontId="0" fillId="0" borderId="2" xfId="0" applyBorder="1" applyAlignment="1">
      <alignment horizontal="right" vertical="top" wrapText="1"/>
    </xf>
    <xf numFmtId="0" fontId="0" fillId="0" borderId="0" xfId="0" applyBorder="1" applyAlignment="1">
      <alignment horizontal="right" vertical="top" wrapText="1"/>
    </xf>
    <xf numFmtId="0" fontId="0" fillId="0" borderId="7" xfId="0" applyBorder="1" applyAlignment="1">
      <alignment horizontal="right"/>
    </xf>
    <xf numFmtId="9" fontId="0" fillId="0" borderId="16" xfId="0" applyNumberFormat="1" applyBorder="1" applyAlignment="1">
      <alignment horizontal="center" vertical="center" wrapText="1"/>
    </xf>
    <xf numFmtId="164" fontId="0" fillId="0" borderId="17" xfId="1" applyNumberFormat="1" applyFont="1" applyBorder="1" applyAlignment="1">
      <alignment horizontal="center" vertical="center" wrapText="1"/>
    </xf>
    <xf numFmtId="0" fontId="0" fillId="0" borderId="0" xfId="0" applyBorder="1" applyAlignment="1">
      <alignment wrapText="1"/>
    </xf>
    <xf numFmtId="9" fontId="0" fillId="0" borderId="15" xfId="0" applyNumberFormat="1" applyBorder="1" applyAlignment="1">
      <alignment horizontal="center" vertical="center" wrapText="1"/>
    </xf>
    <xf numFmtId="9" fontId="0" fillId="0" borderId="24" xfId="0" applyNumberFormat="1" applyBorder="1" applyAlignment="1">
      <alignment vertical="center" wrapText="1"/>
    </xf>
    <xf numFmtId="9" fontId="0" fillId="0" borderId="0" xfId="0" applyNumberFormat="1" applyBorder="1" applyAlignment="1">
      <alignment horizontal="center"/>
    </xf>
    <xf numFmtId="9" fontId="0" fillId="0" borderId="5" xfId="0" applyNumberFormat="1" applyBorder="1" applyAlignment="1">
      <alignment horizontal="center"/>
    </xf>
    <xf numFmtId="0" fontId="0" fillId="0" borderId="0" xfId="0" applyBorder="1" applyAlignment="1">
      <alignment horizontal="left" vertical="center" wrapText="1"/>
    </xf>
    <xf numFmtId="0" fontId="4" fillId="3" borderId="0" xfId="0" applyFont="1" applyFill="1" applyBorder="1" applyAlignment="1">
      <alignment horizontal="left" vertical="center" wrapText="1"/>
    </xf>
    <xf numFmtId="0" fontId="2" fillId="2" borderId="9" xfId="0" applyFont="1" applyFill="1" applyBorder="1" applyAlignment="1">
      <alignment horizontal="left" vertical="center"/>
    </xf>
    <xf numFmtId="0" fontId="2" fillId="2" borderId="10" xfId="0" applyFont="1" applyFill="1" applyBorder="1" applyAlignment="1">
      <alignment horizontal="left" vertical="center"/>
    </xf>
    <xf numFmtId="0" fontId="0" fillId="0" borderId="0" xfId="0" applyBorder="1" applyAlignment="1">
      <alignment wrapText="1"/>
    </xf>
    <xf numFmtId="9" fontId="0" fillId="0" borderId="15" xfId="0" applyNumberFormat="1" applyBorder="1" applyAlignment="1">
      <alignment horizontal="center" vertical="center" wrapText="1"/>
    </xf>
    <xf numFmtId="164" fontId="0" fillId="0" borderId="17" xfId="1" applyNumberFormat="1" applyFont="1" applyBorder="1" applyAlignment="1">
      <alignment horizontal="center" vertical="center" wrapText="1"/>
    </xf>
    <xf numFmtId="9" fontId="0" fillId="0" borderId="16" xfId="0" applyNumberForma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4" fillId="3" borderId="7" xfId="0" applyFont="1" applyFill="1" applyBorder="1" applyAlignment="1">
      <alignment horizontal="left" vertical="center" wrapText="1"/>
    </xf>
    <xf numFmtId="0" fontId="0" fillId="0" borderId="2" xfId="0" applyBorder="1" applyAlignment="1">
      <alignment horizontal="right" vertical="top" wrapText="1"/>
    </xf>
    <xf numFmtId="9" fontId="0" fillId="0" borderId="4" xfId="0" applyNumberForma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9" fontId="0" fillId="0" borderId="8" xfId="0" applyNumberFormat="1" applyBorder="1" applyAlignment="1">
      <alignment horizontal="center"/>
    </xf>
    <xf numFmtId="0" fontId="0" fillId="0" borderId="0" xfId="0" applyBorder="1" applyAlignment="1">
      <alignment horizontal="right" vertical="top" wrapText="1"/>
    </xf>
    <xf numFmtId="0" fontId="0" fillId="0" borderId="7" xfId="0" applyBorder="1" applyAlignment="1">
      <alignment horizontal="right"/>
    </xf>
    <xf numFmtId="0" fontId="2" fillId="2" borderId="9" xfId="0" applyFont="1" applyFill="1" applyBorder="1" applyAlignment="1">
      <alignment vertical="center"/>
    </xf>
    <xf numFmtId="0" fontId="2" fillId="2" borderId="10" xfId="0" applyFont="1" applyFill="1" applyBorder="1" applyAlignment="1">
      <alignment vertic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CA355-98DA-43BC-B220-40470202DA97}">
  <sheetPr codeName="Feuil3">
    <pageSetUpPr fitToPage="1"/>
  </sheetPr>
  <dimension ref="A1:N120"/>
  <sheetViews>
    <sheetView tabSelected="1" zoomScale="85" zoomScaleNormal="85" workbookViewId="0">
      <selection activeCell="P31" sqref="P31"/>
    </sheetView>
  </sheetViews>
  <sheetFormatPr baseColWidth="10" defaultRowHeight="15" x14ac:dyDescent="0.25"/>
  <cols>
    <col min="1" max="1" width="7.5703125" customWidth="1"/>
    <col min="2" max="2" width="5" customWidth="1"/>
    <col min="10" max="10" width="26.85546875" customWidth="1"/>
    <col min="11" max="11" width="8.42578125" customWidth="1"/>
    <col min="13" max="13" width="12.7109375" customWidth="1"/>
  </cols>
  <sheetData>
    <row r="1" spans="1:14" ht="21" x14ac:dyDescent="0.35">
      <c r="A1" s="70" t="s">
        <v>29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2"/>
    </row>
    <row r="2" spans="1:14" ht="21" x14ac:dyDescent="0.35">
      <c r="A2" s="73" t="s">
        <v>28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5"/>
    </row>
    <row r="3" spans="1:14" ht="21" x14ac:dyDescent="0.35">
      <c r="A3" s="73" t="s">
        <v>30</v>
      </c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5"/>
    </row>
    <row r="4" spans="1:14" ht="21.75" thickBot="1" x14ac:dyDescent="0.4">
      <c r="A4" s="76" t="s">
        <v>0</v>
      </c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8"/>
    </row>
    <row r="5" spans="1:14" ht="15.75" thickBot="1" x14ac:dyDescent="0.3">
      <c r="L5" s="1"/>
      <c r="M5" s="1"/>
      <c r="N5" s="1"/>
    </row>
    <row r="6" spans="1:14" ht="30.75" thickBot="1" x14ac:dyDescent="0.3">
      <c r="A6" s="64" t="str">
        <f>"Codification (" &amp; SUM(M7:M19)*100&amp; "%)"</f>
        <v>Codification (25%)</v>
      </c>
      <c r="B6" s="65"/>
      <c r="C6" s="65"/>
      <c r="D6" s="65"/>
      <c r="E6" s="65"/>
      <c r="F6" s="65"/>
      <c r="G6" s="65"/>
      <c r="H6" s="65"/>
      <c r="I6" s="65"/>
      <c r="J6" s="2"/>
      <c r="K6" s="33"/>
      <c r="L6" s="4" t="s">
        <v>1</v>
      </c>
      <c r="M6" s="5" t="s">
        <v>2</v>
      </c>
      <c r="N6" s="6" t="s">
        <v>3</v>
      </c>
    </row>
    <row r="7" spans="1:14" x14ac:dyDescent="0.25">
      <c r="A7" s="20" t="s">
        <v>5</v>
      </c>
      <c r="B7" s="48"/>
      <c r="C7" s="48"/>
      <c r="D7" s="48"/>
      <c r="E7" s="48"/>
      <c r="F7" s="48"/>
      <c r="G7" s="48"/>
      <c r="H7" s="48"/>
      <c r="I7" s="48"/>
      <c r="J7" s="48"/>
      <c r="K7" s="11"/>
      <c r="L7" s="7"/>
      <c r="M7" s="8"/>
      <c r="N7" s="13"/>
    </row>
    <row r="8" spans="1:14" ht="30.75" customHeight="1" x14ac:dyDescent="0.25">
      <c r="A8" s="20"/>
      <c r="B8" s="66" t="s">
        <v>18</v>
      </c>
      <c r="C8" s="66"/>
      <c r="D8" s="66"/>
      <c r="E8" s="66"/>
      <c r="F8" s="66"/>
      <c r="G8" s="66"/>
      <c r="H8" s="66"/>
      <c r="I8" s="66"/>
      <c r="J8" s="66"/>
      <c r="K8" s="11" t="s">
        <v>12</v>
      </c>
      <c r="L8" s="67">
        <v>1</v>
      </c>
      <c r="M8" s="69">
        <v>0.25</v>
      </c>
      <c r="N8" s="68">
        <f>M8*L8</f>
        <v>0.25</v>
      </c>
    </row>
    <row r="9" spans="1:14" x14ac:dyDescent="0.25">
      <c r="A9" s="20"/>
      <c r="B9" s="62" t="s">
        <v>26</v>
      </c>
      <c r="C9" s="62"/>
      <c r="D9" s="62"/>
      <c r="E9" s="62"/>
      <c r="F9" s="62"/>
      <c r="G9" s="62"/>
      <c r="H9" s="62"/>
      <c r="I9" s="62"/>
      <c r="J9" s="62"/>
      <c r="K9" s="11" t="s">
        <v>19</v>
      </c>
      <c r="L9" s="67"/>
      <c r="M9" s="69"/>
      <c r="N9" s="68"/>
    </row>
    <row r="10" spans="1:14" x14ac:dyDescent="0.25">
      <c r="A10" s="20"/>
      <c r="B10" s="62"/>
      <c r="C10" s="62"/>
      <c r="D10" s="62"/>
      <c r="E10" s="62"/>
      <c r="F10" s="62"/>
      <c r="G10" s="62"/>
      <c r="H10" s="62"/>
      <c r="I10" s="62"/>
      <c r="J10" s="62"/>
      <c r="K10" s="11" t="s">
        <v>20</v>
      </c>
      <c r="L10" s="67"/>
      <c r="M10" s="69"/>
      <c r="N10" s="68"/>
    </row>
    <row r="11" spans="1:14" ht="27.75" customHeight="1" x14ac:dyDescent="0.25">
      <c r="A11" s="10"/>
      <c r="B11" s="62" t="s">
        <v>15</v>
      </c>
      <c r="C11" s="62"/>
      <c r="D11" s="62"/>
      <c r="E11" s="62"/>
      <c r="F11" s="62"/>
      <c r="G11" s="62"/>
      <c r="H11" s="62"/>
      <c r="I11" s="62"/>
      <c r="J11" s="62"/>
      <c r="K11" s="11" t="s">
        <v>22</v>
      </c>
      <c r="L11" s="67"/>
      <c r="M11" s="69"/>
      <c r="N11" s="68"/>
    </row>
    <row r="12" spans="1:14" ht="27.75" customHeight="1" x14ac:dyDescent="0.25">
      <c r="A12" s="10"/>
      <c r="B12" s="62" t="s">
        <v>57</v>
      </c>
      <c r="C12" s="62"/>
      <c r="D12" s="62"/>
      <c r="E12" s="62"/>
      <c r="F12" s="62"/>
      <c r="G12" s="62"/>
      <c r="H12" s="62"/>
      <c r="I12" s="62"/>
      <c r="J12" s="62"/>
      <c r="K12" s="11" t="s">
        <v>58</v>
      </c>
      <c r="L12" s="67"/>
      <c r="M12" s="69"/>
      <c r="N12" s="68"/>
    </row>
    <row r="13" spans="1:14" ht="27.75" customHeight="1" x14ac:dyDescent="0.25">
      <c r="A13" s="10"/>
      <c r="B13" s="62" t="s">
        <v>52</v>
      </c>
      <c r="C13" s="62"/>
      <c r="D13" s="62"/>
      <c r="E13" s="62"/>
      <c r="F13" s="62"/>
      <c r="G13" s="62"/>
      <c r="H13" s="62"/>
      <c r="I13" s="62"/>
      <c r="J13" s="62"/>
      <c r="K13" s="11" t="s">
        <v>53</v>
      </c>
      <c r="L13" s="67"/>
      <c r="M13" s="69"/>
      <c r="N13" s="68"/>
    </row>
    <row r="14" spans="1:14" ht="14.45" customHeight="1" x14ac:dyDescent="0.25">
      <c r="A14" s="10"/>
      <c r="B14" s="62" t="s">
        <v>21</v>
      </c>
      <c r="C14" s="62"/>
      <c r="D14" s="62"/>
      <c r="E14" s="62"/>
      <c r="F14" s="62"/>
      <c r="G14" s="62"/>
      <c r="H14" s="62"/>
      <c r="I14" s="62"/>
      <c r="J14" s="62"/>
      <c r="K14" s="11" t="s">
        <v>23</v>
      </c>
      <c r="L14" s="67"/>
      <c r="M14" s="69"/>
      <c r="N14" s="68"/>
    </row>
    <row r="15" spans="1:14" ht="14.45" customHeight="1" x14ac:dyDescent="0.25">
      <c r="A15" s="10"/>
      <c r="B15" s="62" t="s">
        <v>75</v>
      </c>
      <c r="C15" s="62"/>
      <c r="D15" s="62"/>
      <c r="E15" s="62"/>
      <c r="F15" s="62"/>
      <c r="G15" s="62"/>
      <c r="H15" s="62"/>
      <c r="I15" s="62"/>
      <c r="J15" s="62"/>
      <c r="K15" s="11" t="s">
        <v>76</v>
      </c>
      <c r="L15" s="67"/>
      <c r="M15" s="69"/>
      <c r="N15" s="68"/>
    </row>
    <row r="16" spans="1:14" ht="14.45" customHeight="1" x14ac:dyDescent="0.25">
      <c r="A16" s="10"/>
      <c r="B16" s="62" t="s">
        <v>27</v>
      </c>
      <c r="C16" s="62"/>
      <c r="D16" s="62"/>
      <c r="E16" s="62"/>
      <c r="F16" s="62"/>
      <c r="G16" s="62"/>
      <c r="H16" s="62"/>
      <c r="I16" s="62"/>
      <c r="J16" s="62"/>
      <c r="K16" s="11" t="s">
        <v>24</v>
      </c>
      <c r="L16" s="67"/>
      <c r="M16" s="69"/>
      <c r="N16" s="68"/>
    </row>
    <row r="17" spans="1:14" x14ac:dyDescent="0.25">
      <c r="A17" s="10"/>
      <c r="B17" s="62" t="s">
        <v>13</v>
      </c>
      <c r="C17" s="62"/>
      <c r="D17" s="62"/>
      <c r="E17" s="62"/>
      <c r="F17" s="62"/>
      <c r="G17" s="62"/>
      <c r="H17" s="62"/>
      <c r="I17" s="62"/>
      <c r="J17" s="62"/>
      <c r="K17" s="11" t="s">
        <v>14</v>
      </c>
      <c r="L17" s="49"/>
      <c r="M17" s="50"/>
      <c r="N17" s="51"/>
    </row>
    <row r="18" spans="1:14" x14ac:dyDescent="0.25">
      <c r="A18" s="10"/>
      <c r="B18" s="12" t="s">
        <v>4</v>
      </c>
      <c r="C18" s="48"/>
      <c r="D18" s="48"/>
      <c r="E18" s="48"/>
      <c r="F18" s="48"/>
      <c r="G18" s="48"/>
      <c r="H18" s="48"/>
      <c r="I18" s="48"/>
      <c r="J18" s="48"/>
      <c r="K18" s="11"/>
      <c r="L18" s="7"/>
      <c r="M18" s="8"/>
      <c r="N18" s="13"/>
    </row>
    <row r="19" spans="1:14" ht="27" customHeight="1" x14ac:dyDescent="0.25">
      <c r="A19" s="14"/>
      <c r="B19" s="63"/>
      <c r="C19" s="63"/>
      <c r="D19" s="63"/>
      <c r="E19" s="63"/>
      <c r="F19" s="63"/>
      <c r="G19" s="63"/>
      <c r="H19" s="63"/>
      <c r="I19" s="63"/>
      <c r="J19" s="63"/>
      <c r="K19" s="63"/>
      <c r="L19" s="7"/>
      <c r="M19" s="8"/>
      <c r="N19" s="9"/>
    </row>
    <row r="20" spans="1:14" ht="15.75" thickBot="1" x14ac:dyDescent="0.3">
      <c r="A20" s="15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7"/>
      <c r="M20" s="18"/>
      <c r="N20" s="19"/>
    </row>
    <row r="21" spans="1:14" ht="15.75" thickBot="1" x14ac:dyDescent="0.3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1"/>
      <c r="M21" s="1"/>
      <c r="N21" s="1"/>
    </row>
    <row r="22" spans="1:14" ht="30.75" thickBot="1" x14ac:dyDescent="0.3">
      <c r="A22" s="64" t="str">
        <f>"Le personnage principal (" &amp; SUM(M23:M33)*100&amp; "%)"</f>
        <v>Le personnage principal (15%)</v>
      </c>
      <c r="B22" s="65"/>
      <c r="C22" s="65"/>
      <c r="D22" s="65"/>
      <c r="E22" s="65"/>
      <c r="F22" s="65"/>
      <c r="G22" s="65"/>
      <c r="H22" s="65"/>
      <c r="I22" s="65"/>
      <c r="J22" s="2"/>
      <c r="K22" s="33"/>
      <c r="L22" s="4" t="s">
        <v>1</v>
      </c>
      <c r="M22" s="5" t="s">
        <v>2</v>
      </c>
      <c r="N22" s="6" t="s">
        <v>3</v>
      </c>
    </row>
    <row r="23" spans="1:14" x14ac:dyDescent="0.25">
      <c r="A23" s="20" t="s">
        <v>31</v>
      </c>
      <c r="B23" s="48"/>
      <c r="C23" s="48"/>
      <c r="D23" s="48"/>
      <c r="E23" s="48"/>
      <c r="F23" s="48"/>
      <c r="G23" s="48"/>
      <c r="H23" s="48"/>
      <c r="I23" s="48"/>
      <c r="J23" s="48"/>
      <c r="K23" s="11"/>
      <c r="L23" s="7"/>
      <c r="M23" s="8"/>
      <c r="N23" s="13"/>
    </row>
    <row r="24" spans="1:14" x14ac:dyDescent="0.25">
      <c r="A24" s="20"/>
      <c r="B24" s="66" t="s">
        <v>33</v>
      </c>
      <c r="C24" s="66"/>
      <c r="D24" s="66"/>
      <c r="E24" s="66"/>
      <c r="F24" s="66"/>
      <c r="G24" s="66"/>
      <c r="H24" s="66"/>
      <c r="I24" s="66"/>
      <c r="J24" s="66"/>
      <c r="K24" s="11"/>
      <c r="L24" s="67">
        <v>1</v>
      </c>
      <c r="M24" s="69">
        <v>0.15</v>
      </c>
      <c r="N24" s="68">
        <f>M24*L24</f>
        <v>0.15</v>
      </c>
    </row>
    <row r="25" spans="1:14" x14ac:dyDescent="0.25">
      <c r="A25" s="20"/>
      <c r="B25" s="62" t="s">
        <v>32</v>
      </c>
      <c r="C25" s="62"/>
      <c r="D25" s="62"/>
      <c r="E25" s="62"/>
      <c r="F25" s="62"/>
      <c r="G25" s="62"/>
      <c r="H25" s="62"/>
      <c r="I25" s="62"/>
      <c r="J25" s="62"/>
      <c r="K25" s="11"/>
      <c r="L25" s="67"/>
      <c r="M25" s="69"/>
      <c r="N25" s="68"/>
    </row>
    <row r="26" spans="1:14" ht="14.45" customHeight="1" x14ac:dyDescent="0.25">
      <c r="A26" s="10"/>
      <c r="B26" s="62" t="s">
        <v>34</v>
      </c>
      <c r="C26" s="62"/>
      <c r="D26" s="62"/>
      <c r="E26" s="62"/>
      <c r="F26" s="62"/>
      <c r="G26" s="62"/>
      <c r="H26" s="62"/>
      <c r="I26" s="62"/>
      <c r="J26" s="62"/>
      <c r="K26" s="11"/>
      <c r="L26" s="67"/>
      <c r="M26" s="69"/>
      <c r="N26" s="68"/>
    </row>
    <row r="27" spans="1:14" ht="14.45" customHeight="1" x14ac:dyDescent="0.25">
      <c r="A27" s="10"/>
      <c r="B27" s="62" t="s">
        <v>35</v>
      </c>
      <c r="C27" s="62"/>
      <c r="D27" s="62"/>
      <c r="E27" s="62"/>
      <c r="F27" s="62"/>
      <c r="G27" s="62"/>
      <c r="H27" s="62"/>
      <c r="I27" s="62"/>
      <c r="J27" s="62"/>
      <c r="K27" s="11"/>
      <c r="L27" s="67"/>
      <c r="M27" s="69"/>
      <c r="N27" s="68"/>
    </row>
    <row r="28" spans="1:14" ht="14.45" customHeight="1" x14ac:dyDescent="0.25">
      <c r="A28" s="10"/>
      <c r="B28" s="62" t="s">
        <v>73</v>
      </c>
      <c r="C28" s="62"/>
      <c r="D28" s="62"/>
      <c r="E28" s="62"/>
      <c r="F28" s="62"/>
      <c r="G28" s="62"/>
      <c r="H28" s="62"/>
      <c r="I28" s="62"/>
      <c r="J28" s="62"/>
      <c r="K28" s="11"/>
      <c r="L28" s="67"/>
      <c r="M28" s="69"/>
      <c r="N28" s="68"/>
    </row>
    <row r="29" spans="1:14" ht="29.25" customHeight="1" x14ac:dyDescent="0.25">
      <c r="A29" s="10"/>
      <c r="B29" s="62" t="s">
        <v>74</v>
      </c>
      <c r="C29" s="62"/>
      <c r="D29" s="62"/>
      <c r="E29" s="62"/>
      <c r="F29" s="62"/>
      <c r="G29" s="62"/>
      <c r="H29" s="62"/>
      <c r="I29" s="62"/>
      <c r="J29" s="62"/>
      <c r="K29" s="11"/>
      <c r="L29" s="67"/>
      <c r="M29" s="69"/>
      <c r="N29" s="68"/>
    </row>
    <row r="30" spans="1:14" ht="14.45" customHeight="1" x14ac:dyDescent="0.25">
      <c r="A30" s="10"/>
      <c r="B30" s="62" t="s">
        <v>36</v>
      </c>
      <c r="C30" s="62"/>
      <c r="D30" s="62"/>
      <c r="E30" s="62"/>
      <c r="F30" s="62"/>
      <c r="G30" s="62"/>
      <c r="H30" s="62"/>
      <c r="I30" s="62"/>
      <c r="J30" s="62"/>
      <c r="K30" s="11"/>
      <c r="L30" s="67"/>
      <c r="M30" s="69"/>
      <c r="N30" s="68"/>
    </row>
    <row r="31" spans="1:14" x14ac:dyDescent="0.25">
      <c r="A31" s="10"/>
      <c r="B31" s="62" t="s">
        <v>13</v>
      </c>
      <c r="C31" s="62"/>
      <c r="D31" s="62"/>
      <c r="E31" s="62"/>
      <c r="F31" s="62"/>
      <c r="G31" s="62"/>
      <c r="H31" s="62"/>
      <c r="I31" s="62"/>
      <c r="J31" s="62"/>
      <c r="K31" s="11" t="s">
        <v>14</v>
      </c>
      <c r="L31" s="49"/>
      <c r="M31" s="50"/>
      <c r="N31" s="51"/>
    </row>
    <row r="32" spans="1:14" x14ac:dyDescent="0.25">
      <c r="A32" s="10"/>
      <c r="B32" s="12" t="s">
        <v>4</v>
      </c>
      <c r="C32" s="48"/>
      <c r="D32" s="48"/>
      <c r="E32" s="48"/>
      <c r="F32" s="48"/>
      <c r="G32" s="48"/>
      <c r="H32" s="48"/>
      <c r="I32" s="48"/>
      <c r="J32" s="48"/>
      <c r="K32" s="11"/>
      <c r="L32" s="7"/>
      <c r="M32" s="8"/>
      <c r="N32" s="13"/>
    </row>
    <row r="33" spans="1:14" ht="27" customHeight="1" x14ac:dyDescent="0.25">
      <c r="A33" s="14"/>
      <c r="B33" s="63"/>
      <c r="C33" s="63"/>
      <c r="D33" s="63"/>
      <c r="E33" s="63"/>
      <c r="F33" s="63"/>
      <c r="G33" s="63"/>
      <c r="H33" s="63"/>
      <c r="I33" s="63"/>
      <c r="J33" s="63"/>
      <c r="K33" s="63"/>
      <c r="L33" s="7"/>
      <c r="M33" s="8"/>
      <c r="N33" s="9"/>
    </row>
    <row r="34" spans="1:14" ht="15.75" thickBot="1" x14ac:dyDescent="0.3">
      <c r="A34" s="15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7"/>
      <c r="M34" s="18"/>
      <c r="N34" s="19"/>
    </row>
    <row r="35" spans="1:14" ht="15.75" thickBot="1" x14ac:dyDescent="0.3"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1"/>
      <c r="M35" s="1"/>
      <c r="N35" s="1"/>
    </row>
    <row r="36" spans="1:14" ht="30.75" thickBot="1" x14ac:dyDescent="0.3">
      <c r="A36" s="64" t="str">
        <f>"Les ennemis (" &amp; SUM(M37:M47)*100&amp; "%)"</f>
        <v>Les ennemis (15%)</v>
      </c>
      <c r="B36" s="65"/>
      <c r="C36" s="65"/>
      <c r="D36" s="65"/>
      <c r="E36" s="65"/>
      <c r="F36" s="65"/>
      <c r="G36" s="65"/>
      <c r="H36" s="65"/>
      <c r="I36" s="65"/>
      <c r="J36" s="2"/>
      <c r="K36" s="33"/>
      <c r="L36" s="4" t="s">
        <v>1</v>
      </c>
      <c r="M36" s="5" t="s">
        <v>2</v>
      </c>
      <c r="N36" s="6" t="s">
        <v>3</v>
      </c>
    </row>
    <row r="37" spans="1:14" x14ac:dyDescent="0.25">
      <c r="A37" s="20" t="s">
        <v>31</v>
      </c>
      <c r="B37" s="48"/>
      <c r="C37" s="48"/>
      <c r="D37" s="48"/>
      <c r="E37" s="48"/>
      <c r="F37" s="48"/>
      <c r="G37" s="48"/>
      <c r="H37" s="48"/>
      <c r="I37" s="48"/>
      <c r="J37" s="48"/>
      <c r="K37" s="11"/>
      <c r="L37" s="7"/>
      <c r="M37" s="8"/>
      <c r="N37" s="13"/>
    </row>
    <row r="38" spans="1:14" x14ac:dyDescent="0.25">
      <c r="A38" s="20"/>
      <c r="B38" s="66" t="s">
        <v>37</v>
      </c>
      <c r="C38" s="66"/>
      <c r="D38" s="66"/>
      <c r="E38" s="66"/>
      <c r="F38" s="66"/>
      <c r="G38" s="66"/>
      <c r="H38" s="66"/>
      <c r="I38" s="66"/>
      <c r="J38" s="66"/>
      <c r="K38" s="11"/>
      <c r="L38" s="67">
        <v>1</v>
      </c>
      <c r="M38" s="69">
        <v>0.15</v>
      </c>
      <c r="N38" s="68">
        <f>M38*L38</f>
        <v>0.15</v>
      </c>
    </row>
    <row r="39" spans="1:14" x14ac:dyDescent="0.25">
      <c r="A39" s="20"/>
      <c r="B39" s="66" t="s">
        <v>46</v>
      </c>
      <c r="C39" s="66"/>
      <c r="D39" s="66"/>
      <c r="E39" s="66"/>
      <c r="F39" s="66"/>
      <c r="G39" s="66"/>
      <c r="H39" s="66"/>
      <c r="I39" s="66"/>
      <c r="J39" s="66"/>
      <c r="K39" s="11"/>
      <c r="L39" s="67"/>
      <c r="M39" s="69"/>
      <c r="N39" s="68"/>
    </row>
    <row r="40" spans="1:14" x14ac:dyDescent="0.25">
      <c r="A40" s="20"/>
      <c r="B40" s="62" t="s">
        <v>38</v>
      </c>
      <c r="C40" s="62"/>
      <c r="D40" s="62"/>
      <c r="E40" s="62"/>
      <c r="F40" s="62"/>
      <c r="G40" s="62"/>
      <c r="H40" s="62"/>
      <c r="I40" s="62"/>
      <c r="J40" s="62"/>
      <c r="K40" s="11"/>
      <c r="L40" s="67"/>
      <c r="M40" s="69"/>
      <c r="N40" s="68"/>
    </row>
    <row r="41" spans="1:14" x14ac:dyDescent="0.25">
      <c r="A41" s="20"/>
      <c r="B41" s="62" t="s">
        <v>39</v>
      </c>
      <c r="C41" s="62"/>
      <c r="D41" s="62"/>
      <c r="E41" s="62"/>
      <c r="F41" s="62"/>
      <c r="G41" s="62"/>
      <c r="H41" s="62"/>
      <c r="I41" s="62"/>
      <c r="J41" s="62"/>
      <c r="K41" s="11"/>
      <c r="L41" s="67"/>
      <c r="M41" s="69"/>
      <c r="N41" s="68"/>
    </row>
    <row r="42" spans="1:14" x14ac:dyDescent="0.25">
      <c r="A42" s="10"/>
      <c r="B42" s="62" t="s">
        <v>40</v>
      </c>
      <c r="C42" s="62"/>
      <c r="D42" s="62"/>
      <c r="E42" s="62"/>
      <c r="F42" s="62"/>
      <c r="G42" s="62"/>
      <c r="H42" s="62"/>
      <c r="I42" s="62"/>
      <c r="J42" s="62"/>
      <c r="K42" s="11"/>
      <c r="L42" s="67"/>
      <c r="M42" s="69"/>
      <c r="N42" s="68"/>
    </row>
    <row r="43" spans="1:14" x14ac:dyDescent="0.25">
      <c r="A43" s="10"/>
      <c r="B43" s="62" t="s">
        <v>54</v>
      </c>
      <c r="C43" s="62"/>
      <c r="D43" s="62"/>
      <c r="E43" s="62"/>
      <c r="F43" s="62"/>
      <c r="G43" s="62"/>
      <c r="H43" s="62"/>
      <c r="I43" s="62"/>
      <c r="J43" s="62"/>
      <c r="K43" s="11"/>
      <c r="L43" s="67"/>
      <c r="M43" s="69"/>
      <c r="N43" s="68"/>
    </row>
    <row r="44" spans="1:14" x14ac:dyDescent="0.25">
      <c r="A44" s="10"/>
      <c r="B44" s="62" t="s">
        <v>45</v>
      </c>
      <c r="C44" s="62"/>
      <c r="D44" s="62"/>
      <c r="E44" s="62"/>
      <c r="F44" s="62"/>
      <c r="G44" s="62"/>
      <c r="H44" s="62"/>
      <c r="I44" s="62"/>
      <c r="J44" s="62"/>
      <c r="K44" s="11"/>
      <c r="L44" s="67"/>
      <c r="M44" s="69"/>
      <c r="N44" s="68"/>
    </row>
    <row r="45" spans="1:14" x14ac:dyDescent="0.25">
      <c r="A45" s="10"/>
      <c r="B45" s="62" t="s">
        <v>13</v>
      </c>
      <c r="C45" s="62"/>
      <c r="D45" s="62"/>
      <c r="E45" s="62"/>
      <c r="F45" s="62"/>
      <c r="G45" s="62"/>
      <c r="H45" s="62"/>
      <c r="I45" s="62"/>
      <c r="J45" s="62"/>
      <c r="K45" s="11" t="s">
        <v>14</v>
      </c>
      <c r="L45" s="49"/>
      <c r="M45" s="50"/>
      <c r="N45" s="51"/>
    </row>
    <row r="46" spans="1:14" x14ac:dyDescent="0.25">
      <c r="A46" s="10"/>
      <c r="B46" s="12" t="s">
        <v>4</v>
      </c>
      <c r="C46" s="48"/>
      <c r="D46" s="48"/>
      <c r="E46" s="48"/>
      <c r="F46" s="48"/>
      <c r="G46" s="48"/>
      <c r="H46" s="48"/>
      <c r="I46" s="48"/>
      <c r="J46" s="48"/>
      <c r="K46" s="11"/>
      <c r="L46" s="7"/>
      <c r="M46" s="8"/>
      <c r="N46" s="13"/>
    </row>
    <row r="47" spans="1:14" ht="27" customHeight="1" x14ac:dyDescent="0.25">
      <c r="A47" s="14"/>
      <c r="B47" s="63"/>
      <c r="C47" s="63"/>
      <c r="D47" s="63"/>
      <c r="E47" s="63"/>
      <c r="F47" s="63"/>
      <c r="G47" s="63"/>
      <c r="H47" s="63"/>
      <c r="I47" s="63"/>
      <c r="J47" s="63"/>
      <c r="K47" s="63"/>
      <c r="L47" s="7"/>
      <c r="M47" s="8"/>
      <c r="N47" s="9"/>
    </row>
    <row r="48" spans="1:14" ht="15.75" thickBot="1" x14ac:dyDescent="0.3">
      <c r="A48" s="15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7"/>
      <c r="M48" s="18"/>
      <c r="N48" s="19"/>
    </row>
    <row r="49" spans="1:14" ht="15.75" thickBot="1" x14ac:dyDescent="0.3"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1"/>
      <c r="M49" s="1"/>
      <c r="N49" s="1"/>
    </row>
    <row r="50" spans="1:14" ht="30.75" thickBot="1" x14ac:dyDescent="0.3">
      <c r="A50" s="64" t="str">
        <f>"Le monde et la partie (" &amp; SUM(M51:M68)*100&amp; "%)"</f>
        <v>Le monde et la partie (15%)</v>
      </c>
      <c r="B50" s="65"/>
      <c r="C50" s="65"/>
      <c r="D50" s="65"/>
      <c r="E50" s="65"/>
      <c r="F50" s="65"/>
      <c r="G50" s="65"/>
      <c r="H50" s="65"/>
      <c r="I50" s="65"/>
      <c r="J50" s="2"/>
      <c r="K50" s="33"/>
      <c r="L50" s="4" t="s">
        <v>1</v>
      </c>
      <c r="M50" s="5" t="s">
        <v>2</v>
      </c>
      <c r="N50" s="6" t="s">
        <v>3</v>
      </c>
    </row>
    <row r="51" spans="1:14" x14ac:dyDescent="0.25">
      <c r="A51" s="20" t="s">
        <v>31</v>
      </c>
      <c r="B51" s="48"/>
      <c r="C51" s="48"/>
      <c r="D51" s="48"/>
      <c r="E51" s="48"/>
      <c r="F51" s="48"/>
      <c r="G51" s="48"/>
      <c r="H51" s="48"/>
      <c r="I51" s="48"/>
      <c r="J51" s="48"/>
      <c r="K51" s="11"/>
      <c r="L51" s="7"/>
      <c r="M51" s="8"/>
      <c r="N51" s="13"/>
    </row>
    <row r="52" spans="1:14" x14ac:dyDescent="0.25">
      <c r="A52" s="20"/>
      <c r="B52" s="66" t="s">
        <v>41</v>
      </c>
      <c r="C52" s="66"/>
      <c r="D52" s="66"/>
      <c r="E52" s="66"/>
      <c r="F52" s="66"/>
      <c r="G52" s="66"/>
      <c r="H52" s="66"/>
      <c r="I52" s="66"/>
      <c r="J52" s="66"/>
      <c r="K52" s="11"/>
      <c r="L52" s="67">
        <v>1</v>
      </c>
      <c r="M52" s="69">
        <v>0.1</v>
      </c>
      <c r="N52" s="68">
        <f>M52*L52</f>
        <v>0.1</v>
      </c>
    </row>
    <row r="53" spans="1:14" x14ac:dyDescent="0.25">
      <c r="A53" s="20"/>
      <c r="B53" s="62" t="s">
        <v>42</v>
      </c>
      <c r="C53" s="62"/>
      <c r="D53" s="62"/>
      <c r="E53" s="62"/>
      <c r="F53" s="62"/>
      <c r="G53" s="62"/>
      <c r="H53" s="62"/>
      <c r="I53" s="62"/>
      <c r="J53" s="62"/>
      <c r="K53" s="11"/>
      <c r="L53" s="67"/>
      <c r="M53" s="69"/>
      <c r="N53" s="68"/>
    </row>
    <row r="54" spans="1:14" x14ac:dyDescent="0.25">
      <c r="A54" s="20"/>
      <c r="B54" s="62" t="s">
        <v>43</v>
      </c>
      <c r="C54" s="62"/>
      <c r="D54" s="62"/>
      <c r="E54" s="62"/>
      <c r="F54" s="62"/>
      <c r="G54" s="62"/>
      <c r="H54" s="62"/>
      <c r="I54" s="62"/>
      <c r="J54" s="62"/>
      <c r="K54" s="11"/>
      <c r="L54" s="67"/>
      <c r="M54" s="69"/>
      <c r="N54" s="68"/>
    </row>
    <row r="55" spans="1:14" x14ac:dyDescent="0.25">
      <c r="A55" s="20"/>
      <c r="B55" s="62" t="s">
        <v>69</v>
      </c>
      <c r="C55" s="62"/>
      <c r="D55" s="62"/>
      <c r="E55" s="62"/>
      <c r="F55" s="62"/>
      <c r="G55" s="62"/>
      <c r="H55" s="62"/>
      <c r="I55" s="62"/>
      <c r="J55" s="62"/>
      <c r="K55" s="11"/>
      <c r="L55" s="67"/>
      <c r="M55" s="69"/>
      <c r="N55" s="68"/>
    </row>
    <row r="56" spans="1:14" x14ac:dyDescent="0.25">
      <c r="A56" s="20"/>
      <c r="B56" s="62" t="s">
        <v>70</v>
      </c>
      <c r="C56" s="62"/>
      <c r="D56" s="62"/>
      <c r="E56" s="62"/>
      <c r="F56" s="62"/>
      <c r="G56" s="62"/>
      <c r="H56" s="62"/>
      <c r="I56" s="62"/>
      <c r="J56" s="62"/>
      <c r="K56" s="11"/>
      <c r="L56" s="67"/>
      <c r="M56" s="69"/>
      <c r="N56" s="68"/>
    </row>
    <row r="57" spans="1:14" x14ac:dyDescent="0.25">
      <c r="A57" s="20"/>
      <c r="B57" s="62" t="s">
        <v>71</v>
      </c>
      <c r="C57" s="62"/>
      <c r="D57" s="62"/>
      <c r="E57" s="62"/>
      <c r="F57" s="62"/>
      <c r="G57" s="62"/>
      <c r="H57" s="62"/>
      <c r="I57" s="62"/>
      <c r="J57" s="62"/>
      <c r="K57" s="11"/>
      <c r="L57" s="67"/>
      <c r="M57" s="69"/>
      <c r="N57" s="68"/>
    </row>
    <row r="58" spans="1:14" x14ac:dyDescent="0.25">
      <c r="A58" s="20"/>
      <c r="B58" s="62" t="s">
        <v>44</v>
      </c>
      <c r="C58" s="62"/>
      <c r="D58" s="62"/>
      <c r="E58" s="62"/>
      <c r="F58" s="62"/>
      <c r="G58" s="62"/>
      <c r="H58" s="62"/>
      <c r="I58" s="62"/>
      <c r="J58" s="62"/>
      <c r="K58" s="11"/>
      <c r="L58" s="67"/>
      <c r="M58" s="69"/>
      <c r="N58" s="68"/>
    </row>
    <row r="59" spans="1:14" x14ac:dyDescent="0.25">
      <c r="A59" s="20"/>
      <c r="B59" s="62" t="s">
        <v>72</v>
      </c>
      <c r="C59" s="62"/>
      <c r="D59" s="62"/>
      <c r="E59" s="62"/>
      <c r="F59" s="62"/>
      <c r="G59" s="62"/>
      <c r="H59" s="62"/>
      <c r="I59" s="62"/>
      <c r="J59" s="62"/>
      <c r="K59" s="11"/>
      <c r="L59" s="67"/>
      <c r="M59" s="69"/>
      <c r="N59" s="68"/>
    </row>
    <row r="60" spans="1:14" ht="14.45" customHeight="1" x14ac:dyDescent="0.25">
      <c r="A60" s="20"/>
      <c r="B60" s="62" t="s">
        <v>13</v>
      </c>
      <c r="C60" s="62"/>
      <c r="D60" s="62"/>
      <c r="E60" s="62"/>
      <c r="F60" s="62"/>
      <c r="G60" s="62"/>
      <c r="H60" s="62"/>
      <c r="I60" s="62"/>
      <c r="J60" s="62"/>
      <c r="K60" s="11" t="s">
        <v>14</v>
      </c>
      <c r="L60" s="49"/>
      <c r="M60" s="50"/>
      <c r="N60" s="51"/>
    </row>
    <row r="61" spans="1:14" x14ac:dyDescent="0.25">
      <c r="A61" s="10"/>
      <c r="B61" s="12" t="s">
        <v>4</v>
      </c>
      <c r="C61" s="48"/>
      <c r="D61" s="48"/>
      <c r="E61" s="48"/>
      <c r="F61" s="48"/>
      <c r="G61" s="48"/>
      <c r="H61" s="48"/>
      <c r="I61" s="48"/>
      <c r="J61" s="48"/>
      <c r="K61" s="11"/>
      <c r="L61" s="7"/>
      <c r="M61" s="8"/>
      <c r="N61" s="13"/>
    </row>
    <row r="62" spans="1:14" ht="27" customHeight="1" x14ac:dyDescent="0.25">
      <c r="A62" s="14"/>
      <c r="B62" s="63"/>
      <c r="C62" s="63"/>
      <c r="D62" s="63"/>
      <c r="E62" s="63"/>
      <c r="F62" s="63"/>
      <c r="G62" s="63"/>
      <c r="H62" s="63"/>
      <c r="I62" s="63"/>
      <c r="J62" s="63"/>
      <c r="K62" s="63"/>
      <c r="L62" s="7"/>
      <c r="M62" s="8"/>
      <c r="N62" s="9"/>
    </row>
    <row r="63" spans="1:14" x14ac:dyDescent="0.25">
      <c r="A63" s="20" t="s">
        <v>47</v>
      </c>
      <c r="B63" s="48"/>
      <c r="C63" s="48"/>
      <c r="D63" s="48"/>
      <c r="E63" s="48"/>
      <c r="F63" s="48"/>
      <c r="G63" s="48"/>
      <c r="H63" s="48"/>
      <c r="I63" s="48"/>
      <c r="J63" s="48"/>
      <c r="K63" s="11"/>
      <c r="L63" s="49"/>
      <c r="M63" s="50"/>
      <c r="N63" s="51"/>
    </row>
    <row r="64" spans="1:14" x14ac:dyDescent="0.25">
      <c r="A64" s="20"/>
      <c r="B64" s="66" t="s">
        <v>48</v>
      </c>
      <c r="C64" s="66"/>
      <c r="D64" s="66"/>
      <c r="E64" s="66"/>
      <c r="F64" s="66"/>
      <c r="G64" s="66"/>
      <c r="H64" s="66"/>
      <c r="I64" s="66"/>
      <c r="J64" s="66"/>
      <c r="K64" s="11"/>
      <c r="L64" s="67">
        <v>1</v>
      </c>
      <c r="M64" s="69">
        <v>0.05</v>
      </c>
      <c r="N64" s="68">
        <f>M64*L64</f>
        <v>0.05</v>
      </c>
    </row>
    <row r="65" spans="1:14" ht="14.45" customHeight="1" x14ac:dyDescent="0.25">
      <c r="A65" s="20"/>
      <c r="B65" s="66" t="s">
        <v>55</v>
      </c>
      <c r="C65" s="66"/>
      <c r="D65" s="66"/>
      <c r="E65" s="66"/>
      <c r="F65" s="66"/>
      <c r="G65" s="66"/>
      <c r="H65" s="66"/>
      <c r="I65" s="66"/>
      <c r="J65" s="66"/>
      <c r="K65" s="11"/>
      <c r="L65" s="67"/>
      <c r="M65" s="69"/>
      <c r="N65" s="68"/>
    </row>
    <row r="66" spans="1:14" ht="14.45" customHeight="1" x14ac:dyDescent="0.25">
      <c r="A66" s="20"/>
      <c r="B66" s="62" t="s">
        <v>13</v>
      </c>
      <c r="C66" s="62"/>
      <c r="D66" s="62"/>
      <c r="E66" s="62"/>
      <c r="F66" s="62"/>
      <c r="G66" s="62"/>
      <c r="H66" s="62"/>
      <c r="I66" s="62"/>
      <c r="J66" s="62"/>
      <c r="K66" s="11" t="s">
        <v>14</v>
      </c>
      <c r="L66" s="49"/>
      <c r="M66" s="50"/>
      <c r="N66" s="51"/>
    </row>
    <row r="67" spans="1:14" x14ac:dyDescent="0.25">
      <c r="A67" s="10"/>
      <c r="B67" s="12" t="s">
        <v>4</v>
      </c>
      <c r="C67" s="48"/>
      <c r="D67" s="48"/>
      <c r="E67" s="48"/>
      <c r="F67" s="48"/>
      <c r="G67" s="48"/>
      <c r="H67" s="48"/>
      <c r="I67" s="48"/>
      <c r="J67" s="48"/>
      <c r="K67" s="11"/>
      <c r="L67" s="7"/>
      <c r="M67" s="8"/>
      <c r="N67" s="13"/>
    </row>
    <row r="68" spans="1:14" ht="27" customHeight="1" x14ac:dyDescent="0.25">
      <c r="A68" s="14"/>
      <c r="B68" s="63"/>
      <c r="C68" s="63"/>
      <c r="D68" s="63"/>
      <c r="E68" s="63"/>
      <c r="F68" s="63"/>
      <c r="G68" s="63"/>
      <c r="H68" s="63"/>
      <c r="I68" s="63"/>
      <c r="J68" s="63"/>
      <c r="K68" s="63"/>
      <c r="L68" s="7"/>
      <c r="M68" s="8"/>
      <c r="N68" s="9"/>
    </row>
    <row r="69" spans="1:14" ht="15.75" thickBot="1" x14ac:dyDescent="0.3">
      <c r="A69" s="15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7"/>
      <c r="M69" s="18"/>
      <c r="N69" s="19"/>
    </row>
    <row r="70" spans="1:14" x14ac:dyDescent="0.25"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1"/>
      <c r="M70" s="1"/>
      <c r="N70" s="1"/>
    </row>
    <row r="71" spans="1:14" ht="15.75" thickBot="1" x14ac:dyDescent="0.3"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1"/>
      <c r="M71" s="1"/>
      <c r="N71" s="1"/>
    </row>
    <row r="72" spans="1:14" ht="30.75" thickBot="1" x14ac:dyDescent="0.3">
      <c r="A72" s="64" t="str">
        <f>"Les bonus (" &amp; SUM(M73:M82)*100&amp; "%)"</f>
        <v>Les bonus (15%)</v>
      </c>
      <c r="B72" s="65"/>
      <c r="C72" s="65"/>
      <c r="D72" s="65"/>
      <c r="E72" s="65"/>
      <c r="F72" s="65"/>
      <c r="G72" s="65"/>
      <c r="H72" s="65"/>
      <c r="I72" s="65"/>
      <c r="J72" s="2"/>
      <c r="K72" s="33"/>
      <c r="L72" s="4" t="s">
        <v>1</v>
      </c>
      <c r="M72" s="5" t="s">
        <v>2</v>
      </c>
      <c r="N72" s="6" t="s">
        <v>3</v>
      </c>
    </row>
    <row r="73" spans="1:14" x14ac:dyDescent="0.25">
      <c r="A73" s="20" t="s">
        <v>31</v>
      </c>
      <c r="B73" s="57"/>
      <c r="C73" s="57"/>
      <c r="D73" s="57"/>
      <c r="E73" s="57"/>
      <c r="F73" s="57"/>
      <c r="G73" s="57"/>
      <c r="H73" s="57"/>
      <c r="I73" s="57"/>
      <c r="J73" s="57"/>
      <c r="K73" s="11"/>
      <c r="L73" s="7"/>
      <c r="M73" s="8"/>
      <c r="N73" s="13"/>
    </row>
    <row r="74" spans="1:14" x14ac:dyDescent="0.25">
      <c r="A74" s="20"/>
      <c r="B74" s="66" t="s">
        <v>60</v>
      </c>
      <c r="C74" s="66"/>
      <c r="D74" s="66"/>
      <c r="E74" s="66"/>
      <c r="F74" s="66"/>
      <c r="G74" s="66"/>
      <c r="H74" s="66"/>
      <c r="I74" s="66"/>
      <c r="J74" s="66"/>
      <c r="K74" s="11"/>
      <c r="L74" s="67">
        <v>1</v>
      </c>
      <c r="M74" s="69">
        <v>0.15</v>
      </c>
      <c r="N74" s="68">
        <f>M74*L74</f>
        <v>0.15</v>
      </c>
    </row>
    <row r="75" spans="1:14" x14ac:dyDescent="0.25">
      <c r="A75" s="20"/>
      <c r="B75" s="66" t="s">
        <v>61</v>
      </c>
      <c r="C75" s="66"/>
      <c r="D75" s="66"/>
      <c r="E75" s="66"/>
      <c r="F75" s="66"/>
      <c r="G75" s="66"/>
      <c r="H75" s="66"/>
      <c r="I75" s="66"/>
      <c r="J75" s="66"/>
      <c r="K75" s="11"/>
      <c r="L75" s="67"/>
      <c r="M75" s="69"/>
      <c r="N75" s="68"/>
    </row>
    <row r="76" spans="1:14" ht="14.45" customHeight="1" x14ac:dyDescent="0.25">
      <c r="A76" s="20"/>
      <c r="B76" s="62" t="s">
        <v>62</v>
      </c>
      <c r="C76" s="62"/>
      <c r="D76" s="62"/>
      <c r="E76" s="62"/>
      <c r="F76" s="62"/>
      <c r="G76" s="62"/>
      <c r="H76" s="62"/>
      <c r="I76" s="62"/>
      <c r="J76" s="62"/>
      <c r="K76" s="11"/>
      <c r="L76" s="67"/>
      <c r="M76" s="69"/>
      <c r="N76" s="68"/>
    </row>
    <row r="77" spans="1:14" ht="14.45" customHeight="1" x14ac:dyDescent="0.25">
      <c r="A77" s="20"/>
      <c r="B77" s="62" t="s">
        <v>63</v>
      </c>
      <c r="C77" s="62"/>
      <c r="D77" s="62"/>
      <c r="E77" s="62"/>
      <c r="F77" s="62"/>
      <c r="G77" s="62"/>
      <c r="H77" s="62"/>
      <c r="I77" s="62"/>
      <c r="J77" s="62"/>
      <c r="K77" s="11"/>
      <c r="L77" s="67"/>
      <c r="M77" s="69"/>
      <c r="N77" s="68"/>
    </row>
    <row r="78" spans="1:14" ht="14.45" customHeight="1" x14ac:dyDescent="0.25">
      <c r="A78" s="20"/>
      <c r="B78" s="62" t="s">
        <v>64</v>
      </c>
      <c r="C78" s="62"/>
      <c r="D78" s="62"/>
      <c r="E78" s="62"/>
      <c r="F78" s="62"/>
      <c r="G78" s="62"/>
      <c r="H78" s="62"/>
      <c r="I78" s="62"/>
      <c r="J78" s="62"/>
      <c r="K78" s="11"/>
      <c r="L78" s="67"/>
      <c r="M78" s="69"/>
      <c r="N78" s="68"/>
    </row>
    <row r="79" spans="1:14" ht="14.45" customHeight="1" x14ac:dyDescent="0.25">
      <c r="A79" s="20"/>
      <c r="B79" s="62" t="s">
        <v>65</v>
      </c>
      <c r="C79" s="62"/>
      <c r="D79" s="62"/>
      <c r="E79" s="62"/>
      <c r="F79" s="62"/>
      <c r="G79" s="62"/>
      <c r="H79" s="62"/>
      <c r="I79" s="62"/>
      <c r="J79" s="62"/>
      <c r="K79" s="11"/>
      <c r="L79" s="67"/>
      <c r="M79" s="69"/>
      <c r="N79" s="68"/>
    </row>
    <row r="80" spans="1:14" x14ac:dyDescent="0.25">
      <c r="A80" s="10"/>
      <c r="B80" s="62" t="s">
        <v>13</v>
      </c>
      <c r="C80" s="62"/>
      <c r="D80" s="62"/>
      <c r="E80" s="62"/>
      <c r="F80" s="62"/>
      <c r="G80" s="62"/>
      <c r="H80" s="62"/>
      <c r="I80" s="62"/>
      <c r="J80" s="62"/>
      <c r="K80" s="11" t="s">
        <v>14</v>
      </c>
      <c r="L80" s="58"/>
      <c r="M80" s="55"/>
      <c r="N80" s="56"/>
    </row>
    <row r="81" spans="1:14" x14ac:dyDescent="0.25">
      <c r="A81" s="10"/>
      <c r="B81" s="12" t="s">
        <v>4</v>
      </c>
      <c r="C81" s="57"/>
      <c r="D81" s="57"/>
      <c r="E81" s="57"/>
      <c r="F81" s="57"/>
      <c r="G81" s="57"/>
      <c r="H81" s="57"/>
      <c r="I81" s="57"/>
      <c r="J81" s="57"/>
      <c r="K81" s="11"/>
      <c r="L81" s="7"/>
      <c r="M81" s="8"/>
      <c r="N81" s="13"/>
    </row>
    <row r="82" spans="1:14" ht="27" customHeight="1" x14ac:dyDescent="0.25">
      <c r="A82" s="14"/>
      <c r="B82" s="63"/>
      <c r="C82" s="63"/>
      <c r="D82" s="63"/>
      <c r="E82" s="63"/>
      <c r="F82" s="63"/>
      <c r="G82" s="63"/>
      <c r="H82" s="63"/>
      <c r="I82" s="63"/>
      <c r="J82" s="63"/>
      <c r="K82" s="63"/>
      <c r="L82" s="7"/>
      <c r="M82" s="8"/>
      <c r="N82" s="9"/>
    </row>
    <row r="83" spans="1:14" ht="15.75" thickBot="1" x14ac:dyDescent="0.3">
      <c r="A83" s="15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7"/>
      <c r="M83" s="18"/>
      <c r="N83" s="19"/>
    </row>
    <row r="84" spans="1:14" ht="27" customHeight="1" thickBot="1" x14ac:dyDescent="0.3">
      <c r="A84" s="14"/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1"/>
      <c r="M84" s="11"/>
      <c r="N84" s="42"/>
    </row>
    <row r="85" spans="1:14" ht="30.75" thickBot="1" x14ac:dyDescent="0.3">
      <c r="A85" s="64" t="str">
        <f>"Les projectiles (" &amp; SUM(M86:M96)*100&amp; "%)"</f>
        <v>Les projectiles (15%)</v>
      </c>
      <c r="B85" s="65"/>
      <c r="C85" s="65"/>
      <c r="D85" s="65"/>
      <c r="E85" s="65"/>
      <c r="F85" s="65"/>
      <c r="G85" s="65"/>
      <c r="H85" s="65"/>
      <c r="I85" s="65"/>
      <c r="J85" s="2"/>
      <c r="K85" s="33"/>
      <c r="L85" s="4" t="s">
        <v>1</v>
      </c>
      <c r="M85" s="5" t="s">
        <v>2</v>
      </c>
      <c r="N85" s="6" t="s">
        <v>3</v>
      </c>
    </row>
    <row r="86" spans="1:14" x14ac:dyDescent="0.25">
      <c r="A86" s="20" t="s">
        <v>31</v>
      </c>
      <c r="B86" s="48"/>
      <c r="C86" s="48"/>
      <c r="D86" s="48"/>
      <c r="E86" s="48"/>
      <c r="F86" s="48"/>
      <c r="G86" s="48"/>
      <c r="H86" s="48"/>
      <c r="I86" s="48"/>
      <c r="J86" s="48"/>
      <c r="K86" s="11"/>
      <c r="L86" s="7"/>
      <c r="M86" s="59"/>
      <c r="N86" s="13"/>
    </row>
    <row r="87" spans="1:14" x14ac:dyDescent="0.25">
      <c r="A87" s="20"/>
      <c r="B87" s="66" t="s">
        <v>49</v>
      </c>
      <c r="C87" s="66"/>
      <c r="D87" s="66"/>
      <c r="E87" s="66"/>
      <c r="F87" s="66"/>
      <c r="G87" s="66"/>
      <c r="H87" s="66"/>
      <c r="I87" s="66"/>
      <c r="J87" s="66"/>
      <c r="K87" s="11"/>
      <c r="L87" s="67">
        <v>1</v>
      </c>
      <c r="M87" s="69">
        <v>0.15</v>
      </c>
      <c r="N87" s="68">
        <f>M87*L87</f>
        <v>0.15</v>
      </c>
    </row>
    <row r="88" spans="1:14" x14ac:dyDescent="0.25">
      <c r="A88" s="20"/>
      <c r="B88" s="66" t="s">
        <v>50</v>
      </c>
      <c r="C88" s="66"/>
      <c r="D88" s="66"/>
      <c r="E88" s="66"/>
      <c r="F88" s="66"/>
      <c r="G88" s="66"/>
      <c r="H88" s="66"/>
      <c r="I88" s="66"/>
      <c r="J88" s="66"/>
      <c r="K88" s="11"/>
      <c r="L88" s="67"/>
      <c r="M88" s="69"/>
      <c r="N88" s="68"/>
    </row>
    <row r="89" spans="1:14" ht="14.45" customHeight="1" x14ac:dyDescent="0.25">
      <c r="A89" s="20"/>
      <c r="B89" s="62" t="s">
        <v>51</v>
      </c>
      <c r="C89" s="62"/>
      <c r="D89" s="62"/>
      <c r="E89" s="62"/>
      <c r="F89" s="62"/>
      <c r="G89" s="62"/>
      <c r="H89" s="62"/>
      <c r="I89" s="62"/>
      <c r="J89" s="62"/>
      <c r="K89" s="11"/>
      <c r="L89" s="67"/>
      <c r="M89" s="69"/>
      <c r="N89" s="68"/>
    </row>
    <row r="90" spans="1:14" ht="14.45" customHeight="1" x14ac:dyDescent="0.25">
      <c r="A90" s="20"/>
      <c r="B90" s="62" t="s">
        <v>67</v>
      </c>
      <c r="C90" s="62"/>
      <c r="D90" s="62"/>
      <c r="E90" s="62"/>
      <c r="F90" s="62"/>
      <c r="G90" s="62"/>
      <c r="H90" s="62"/>
      <c r="I90" s="62"/>
      <c r="J90" s="62"/>
      <c r="K90" s="11"/>
      <c r="L90" s="67"/>
      <c r="M90" s="69"/>
      <c r="N90" s="68"/>
    </row>
    <row r="91" spans="1:14" ht="14.45" customHeight="1" x14ac:dyDescent="0.25">
      <c r="A91" s="20"/>
      <c r="B91" s="62" t="s">
        <v>68</v>
      </c>
      <c r="C91" s="62"/>
      <c r="D91" s="62"/>
      <c r="E91" s="62"/>
      <c r="F91" s="62"/>
      <c r="G91" s="62"/>
      <c r="H91" s="62"/>
      <c r="I91" s="62"/>
      <c r="J91" s="62"/>
      <c r="K91" s="11"/>
      <c r="L91" s="67"/>
      <c r="M91" s="69"/>
      <c r="N91" s="68"/>
    </row>
    <row r="92" spans="1:14" ht="14.45" customHeight="1" x14ac:dyDescent="0.25">
      <c r="A92" s="20"/>
      <c r="B92" s="62" t="s">
        <v>66</v>
      </c>
      <c r="C92" s="62"/>
      <c r="D92" s="62"/>
      <c r="E92" s="62"/>
      <c r="F92" s="62"/>
      <c r="G92" s="62"/>
      <c r="H92" s="62"/>
      <c r="I92" s="62"/>
      <c r="J92" s="62"/>
      <c r="K92" s="11"/>
      <c r="L92" s="67"/>
      <c r="M92" s="69"/>
      <c r="N92" s="68"/>
    </row>
    <row r="93" spans="1:14" ht="14.45" customHeight="1" x14ac:dyDescent="0.25">
      <c r="A93" s="20"/>
      <c r="B93" s="62" t="s">
        <v>56</v>
      </c>
      <c r="C93" s="62"/>
      <c r="D93" s="62"/>
      <c r="E93" s="62"/>
      <c r="F93" s="62"/>
      <c r="G93" s="62"/>
      <c r="H93" s="62"/>
      <c r="I93" s="62"/>
      <c r="J93" s="62"/>
      <c r="K93" s="11"/>
      <c r="L93" s="67"/>
      <c r="M93" s="69"/>
      <c r="N93" s="68"/>
    </row>
    <row r="94" spans="1:14" x14ac:dyDescent="0.25">
      <c r="A94" s="10"/>
      <c r="B94" s="62" t="s">
        <v>13</v>
      </c>
      <c r="C94" s="62"/>
      <c r="D94" s="62"/>
      <c r="E94" s="62"/>
      <c r="F94" s="62"/>
      <c r="G94" s="62"/>
      <c r="H94" s="62"/>
      <c r="I94" s="62"/>
      <c r="J94" s="62"/>
      <c r="K94" s="11" t="s">
        <v>14</v>
      </c>
      <c r="L94" s="49"/>
      <c r="M94" s="50"/>
      <c r="N94" s="51"/>
    </row>
    <row r="95" spans="1:14" x14ac:dyDescent="0.25">
      <c r="A95" s="10"/>
      <c r="B95" s="12" t="s">
        <v>4</v>
      </c>
      <c r="C95" s="48"/>
      <c r="D95" s="48"/>
      <c r="E95" s="48"/>
      <c r="F95" s="48"/>
      <c r="G95" s="48"/>
      <c r="H95" s="48"/>
      <c r="I95" s="48"/>
      <c r="J95" s="48"/>
      <c r="K95" s="11"/>
      <c r="L95" s="7"/>
      <c r="M95" s="8"/>
      <c r="N95" s="13"/>
    </row>
    <row r="96" spans="1:14" ht="27" customHeight="1" x14ac:dyDescent="0.25">
      <c r="A96" s="14"/>
      <c r="B96" s="63"/>
      <c r="C96" s="63"/>
      <c r="D96" s="63"/>
      <c r="E96" s="63"/>
      <c r="F96" s="63"/>
      <c r="G96" s="63"/>
      <c r="H96" s="63"/>
      <c r="I96" s="63"/>
      <c r="J96" s="63"/>
      <c r="K96" s="63"/>
      <c r="L96" s="7"/>
      <c r="M96" s="8"/>
      <c r="N96" s="9"/>
    </row>
    <row r="97" spans="1:14" ht="15.75" thickBot="1" x14ac:dyDescent="0.3">
      <c r="A97" s="15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7"/>
      <c r="M97" s="18"/>
      <c r="N97" s="19"/>
    </row>
    <row r="98" spans="1:14" ht="27" customHeight="1" thickBot="1" x14ac:dyDescent="0.3">
      <c r="A98" s="14"/>
      <c r="B98" s="40"/>
      <c r="C98" s="40"/>
      <c r="D98" s="40"/>
      <c r="E98" s="40"/>
      <c r="F98" s="40"/>
      <c r="G98" s="40"/>
      <c r="H98" s="40"/>
      <c r="I98" s="40"/>
      <c r="J98" s="40"/>
      <c r="K98" s="40"/>
      <c r="L98" s="41"/>
      <c r="M98" s="11"/>
      <c r="N98" s="42"/>
    </row>
    <row r="99" spans="1:14" ht="27" customHeight="1" thickBot="1" x14ac:dyDescent="0.3">
      <c r="A99" s="86" t="str">
        <f>"Pénalités"</f>
        <v>Pénalités</v>
      </c>
      <c r="B99" s="87"/>
      <c r="C99" s="87"/>
      <c r="D99" s="87"/>
      <c r="E99" s="87"/>
      <c r="F99" s="87"/>
      <c r="G99" s="87"/>
      <c r="H99" s="87"/>
      <c r="I99" s="87"/>
      <c r="J99" s="22"/>
      <c r="K99" s="22"/>
      <c r="L99" s="23" t="s">
        <v>1</v>
      </c>
      <c r="M99" s="3" t="s">
        <v>2</v>
      </c>
      <c r="N99" s="24" t="s">
        <v>3</v>
      </c>
    </row>
    <row r="100" spans="1:14" x14ac:dyDescent="0.25">
      <c r="A100" s="10"/>
      <c r="B100" s="66" t="s">
        <v>16</v>
      </c>
      <c r="C100" s="66"/>
      <c r="D100" s="66"/>
      <c r="E100" s="66"/>
      <c r="F100" s="66"/>
      <c r="G100" s="66"/>
      <c r="H100" s="66"/>
      <c r="I100" s="66"/>
      <c r="J100" s="66"/>
      <c r="K100" s="48"/>
      <c r="L100" s="43">
        <v>0</v>
      </c>
      <c r="M100" s="44">
        <v>-0.05</v>
      </c>
      <c r="N100" s="45">
        <f>M100*L100</f>
        <v>0</v>
      </c>
    </row>
    <row r="101" spans="1:14" x14ac:dyDescent="0.25">
      <c r="A101" s="10"/>
      <c r="B101" s="66" t="s">
        <v>25</v>
      </c>
      <c r="C101" s="66"/>
      <c r="D101" s="66"/>
      <c r="E101" s="66"/>
      <c r="F101" s="66"/>
      <c r="G101" s="66"/>
      <c r="H101" s="66"/>
      <c r="I101" s="66"/>
      <c r="J101" s="66"/>
      <c r="K101" s="48"/>
      <c r="L101" s="43">
        <v>0</v>
      </c>
      <c r="M101" s="44">
        <v>-0.05</v>
      </c>
      <c r="N101" s="45">
        <f>M101*L101</f>
        <v>0</v>
      </c>
    </row>
    <row r="102" spans="1:14" x14ac:dyDescent="0.25">
      <c r="A102" s="10"/>
      <c r="B102" s="66" t="s">
        <v>59</v>
      </c>
      <c r="C102" s="66"/>
      <c r="D102" s="66"/>
      <c r="E102" s="66"/>
      <c r="F102" s="66"/>
      <c r="G102" s="66"/>
      <c r="H102" s="66"/>
      <c r="I102" s="66"/>
      <c r="J102" s="66"/>
      <c r="K102" s="48"/>
      <c r="L102" s="43">
        <v>0</v>
      </c>
      <c r="M102" s="44">
        <v>-0.05</v>
      </c>
      <c r="N102" s="45">
        <f>M102*L102</f>
        <v>0</v>
      </c>
    </row>
    <row r="103" spans="1:14" x14ac:dyDescent="0.25">
      <c r="A103" s="10"/>
      <c r="B103" s="66" t="s">
        <v>17</v>
      </c>
      <c r="C103" s="66"/>
      <c r="D103" s="66"/>
      <c r="E103" s="66"/>
      <c r="F103" s="66"/>
      <c r="G103" s="66"/>
      <c r="H103" s="66"/>
      <c r="I103" s="66"/>
      <c r="J103" s="66"/>
      <c r="K103" s="48"/>
      <c r="L103" s="43">
        <v>0</v>
      </c>
      <c r="M103" s="44">
        <v>-0.05</v>
      </c>
      <c r="N103" s="45">
        <f>M103*L103</f>
        <v>0</v>
      </c>
    </row>
    <row r="104" spans="1:14" x14ac:dyDescent="0.25">
      <c r="A104" s="10"/>
      <c r="B104" s="12" t="s">
        <v>4</v>
      </c>
      <c r="C104" s="48"/>
      <c r="D104" s="48"/>
      <c r="E104" s="48"/>
      <c r="F104" s="48"/>
      <c r="G104" s="48"/>
      <c r="H104" s="48"/>
      <c r="I104" s="48"/>
      <c r="J104" s="48"/>
      <c r="K104" s="48"/>
      <c r="L104" s="7"/>
      <c r="M104" s="8"/>
      <c r="N104" s="13"/>
    </row>
    <row r="105" spans="1:14" ht="27" customHeight="1" thickBot="1" x14ac:dyDescent="0.3">
      <c r="A105" s="14"/>
      <c r="B105" s="79"/>
      <c r="C105" s="79"/>
      <c r="D105" s="79"/>
      <c r="E105" s="79"/>
      <c r="F105" s="79"/>
      <c r="G105" s="79"/>
      <c r="H105" s="79"/>
      <c r="I105" s="79"/>
      <c r="J105" s="79"/>
      <c r="K105" s="79"/>
      <c r="L105" s="41"/>
      <c r="M105" s="11"/>
      <c r="N105" s="42"/>
    </row>
    <row r="106" spans="1:14" x14ac:dyDescent="0.25">
      <c r="A106" s="25"/>
      <c r="B106" s="52"/>
      <c r="C106" s="52"/>
      <c r="D106" s="52"/>
      <c r="E106" s="52"/>
      <c r="F106" s="52"/>
      <c r="G106" s="52"/>
      <c r="H106" s="52"/>
      <c r="I106" s="80" t="s">
        <v>6</v>
      </c>
      <c r="J106" s="80"/>
      <c r="K106" s="52"/>
      <c r="L106" s="25"/>
      <c r="M106" s="47" t="s">
        <v>10</v>
      </c>
      <c r="N106" s="26">
        <f>IF(M106="OUI",-15%*SUM(N6:N97,0),0)</f>
        <v>0</v>
      </c>
    </row>
    <row r="107" spans="1:14" x14ac:dyDescent="0.25">
      <c r="A107" s="27"/>
      <c r="B107" s="53"/>
      <c r="C107" s="53"/>
      <c r="D107" s="53"/>
      <c r="E107" s="53"/>
      <c r="F107" s="53"/>
      <c r="G107" s="53"/>
      <c r="H107" s="53"/>
      <c r="I107" s="84" t="s">
        <v>7</v>
      </c>
      <c r="J107" s="84"/>
      <c r="K107" s="53"/>
      <c r="L107" s="27" t="s">
        <v>8</v>
      </c>
      <c r="M107" s="46">
        <v>0</v>
      </c>
      <c r="N107" s="32">
        <f>MIN(40,M107)*-0.5%</f>
        <v>0</v>
      </c>
    </row>
    <row r="108" spans="1:14" ht="15.75" thickBot="1" x14ac:dyDescent="0.3">
      <c r="A108" s="28"/>
      <c r="B108" s="54"/>
      <c r="C108" s="54"/>
      <c r="D108" s="54"/>
      <c r="E108" s="54"/>
      <c r="F108" s="54"/>
      <c r="G108" s="54"/>
      <c r="H108" s="54"/>
      <c r="I108" s="85" t="s">
        <v>9</v>
      </c>
      <c r="J108" s="85"/>
      <c r="K108" s="54"/>
      <c r="L108" s="29"/>
      <c r="M108" s="30"/>
      <c r="N108" s="31">
        <f>SUM(N6:N107)</f>
        <v>1</v>
      </c>
    </row>
    <row r="109" spans="1:14" ht="15.75" thickBot="1" x14ac:dyDescent="0.3"/>
    <row r="110" spans="1:14" ht="15.75" thickBot="1" x14ac:dyDescent="0.3">
      <c r="A110" s="34" t="s">
        <v>11</v>
      </c>
      <c r="B110" s="35"/>
      <c r="C110" s="35"/>
      <c r="D110" s="36"/>
    </row>
    <row r="111" spans="1:14" x14ac:dyDescent="0.25">
      <c r="A111" s="37" t="s">
        <v>12</v>
      </c>
      <c r="B111" s="60">
        <v>0.03</v>
      </c>
      <c r="C111" s="60"/>
      <c r="D111" s="61"/>
    </row>
    <row r="112" spans="1:14" x14ac:dyDescent="0.25">
      <c r="A112" s="38" t="s">
        <v>19</v>
      </c>
      <c r="B112" s="60">
        <v>0.03</v>
      </c>
      <c r="C112" s="60"/>
      <c r="D112" s="61"/>
    </row>
    <row r="113" spans="1:4" x14ac:dyDescent="0.25">
      <c r="A113" s="38" t="s">
        <v>20</v>
      </c>
      <c r="B113" s="60">
        <v>0.03</v>
      </c>
      <c r="C113" s="60"/>
      <c r="D113" s="61"/>
    </row>
    <row r="114" spans="1:4" x14ac:dyDescent="0.25">
      <c r="A114" s="38" t="s">
        <v>22</v>
      </c>
      <c r="B114" s="60">
        <v>0.05</v>
      </c>
      <c r="C114" s="60"/>
      <c r="D114" s="61"/>
    </row>
    <row r="115" spans="1:4" x14ac:dyDescent="0.25">
      <c r="A115" s="38" t="s">
        <v>58</v>
      </c>
      <c r="B115" s="60">
        <v>0.05</v>
      </c>
      <c r="C115" s="60"/>
      <c r="D115" s="61"/>
    </row>
    <row r="116" spans="1:4" x14ac:dyDescent="0.25">
      <c r="A116" s="38" t="s">
        <v>53</v>
      </c>
      <c r="B116" s="60">
        <v>0.05</v>
      </c>
      <c r="C116" s="60"/>
      <c r="D116" s="61"/>
    </row>
    <row r="117" spans="1:4" x14ac:dyDescent="0.25">
      <c r="A117" s="38" t="s">
        <v>23</v>
      </c>
      <c r="B117" s="60">
        <v>0.05</v>
      </c>
      <c r="C117" s="60"/>
      <c r="D117" s="61"/>
    </row>
    <row r="118" spans="1:4" x14ac:dyDescent="0.25">
      <c r="A118" s="38" t="s">
        <v>76</v>
      </c>
      <c r="B118" s="60">
        <v>0.05</v>
      </c>
      <c r="C118" s="60"/>
      <c r="D118" s="61"/>
    </row>
    <row r="119" spans="1:4" x14ac:dyDescent="0.25">
      <c r="A119" s="38" t="s">
        <v>24</v>
      </c>
      <c r="B119" s="81">
        <v>0.05</v>
      </c>
      <c r="C119" s="60"/>
      <c r="D119" s="61"/>
    </row>
    <row r="120" spans="1:4" ht="15.75" thickBot="1" x14ac:dyDescent="0.3">
      <c r="A120" s="39"/>
      <c r="B120" s="82"/>
      <c r="C120" s="82"/>
      <c r="D120" s="83"/>
    </row>
  </sheetData>
  <mergeCells count="109">
    <mergeCell ref="B116:D116"/>
    <mergeCell ref="B117:D117"/>
    <mergeCell ref="B119:D119"/>
    <mergeCell ref="B120:D120"/>
    <mergeCell ref="B90:J90"/>
    <mergeCell ref="B29:J29"/>
    <mergeCell ref="B28:J28"/>
    <mergeCell ref="B94:J94"/>
    <mergeCell ref="B92:J92"/>
    <mergeCell ref="B93:J93"/>
    <mergeCell ref="B55:J55"/>
    <mergeCell ref="B115:D115"/>
    <mergeCell ref="B102:J102"/>
    <mergeCell ref="I107:J107"/>
    <mergeCell ref="I108:J108"/>
    <mergeCell ref="B111:D111"/>
    <mergeCell ref="B112:D112"/>
    <mergeCell ref="B113:D113"/>
    <mergeCell ref="B114:D114"/>
    <mergeCell ref="A99:I99"/>
    <mergeCell ref="B100:J100"/>
    <mergeCell ref="B101:J101"/>
    <mergeCell ref="B103:J103"/>
    <mergeCell ref="B105:K105"/>
    <mergeCell ref="I106:J106"/>
    <mergeCell ref="B96:K96"/>
    <mergeCell ref="B87:J87"/>
    <mergeCell ref="A72:I72"/>
    <mergeCell ref="B74:J74"/>
    <mergeCell ref="L74:L79"/>
    <mergeCell ref="B80:J80"/>
    <mergeCell ref="B82:K82"/>
    <mergeCell ref="B91:J91"/>
    <mergeCell ref="B62:K62"/>
    <mergeCell ref="B64:J64"/>
    <mergeCell ref="L64:L65"/>
    <mergeCell ref="M64:M65"/>
    <mergeCell ref="N64:N65"/>
    <mergeCell ref="B65:J65"/>
    <mergeCell ref="B66:J66"/>
    <mergeCell ref="B68:K68"/>
    <mergeCell ref="A85:I85"/>
    <mergeCell ref="M74:M79"/>
    <mergeCell ref="N74:N79"/>
    <mergeCell ref="B75:J75"/>
    <mergeCell ref="B76:J76"/>
    <mergeCell ref="B77:J77"/>
    <mergeCell ref="B79:J79"/>
    <mergeCell ref="B78:J78"/>
    <mergeCell ref="N52:N59"/>
    <mergeCell ref="B53:J53"/>
    <mergeCell ref="B54:J54"/>
    <mergeCell ref="B58:J58"/>
    <mergeCell ref="B59:J59"/>
    <mergeCell ref="L52:L59"/>
    <mergeCell ref="M52:M59"/>
    <mergeCell ref="B88:J88"/>
    <mergeCell ref="B89:J89"/>
    <mergeCell ref="A1:N1"/>
    <mergeCell ref="A2:N2"/>
    <mergeCell ref="A3:N3"/>
    <mergeCell ref="A4:N4"/>
    <mergeCell ref="A6:I6"/>
    <mergeCell ref="B8:J8"/>
    <mergeCell ref="L8:L16"/>
    <mergeCell ref="M8:M16"/>
    <mergeCell ref="N8:N16"/>
    <mergeCell ref="B9:J10"/>
    <mergeCell ref="B11:J11"/>
    <mergeCell ref="B13:J13"/>
    <mergeCell ref="B14:J14"/>
    <mergeCell ref="B16:J16"/>
    <mergeCell ref="B19:K19"/>
    <mergeCell ref="B12:J12"/>
    <mergeCell ref="B17:J17"/>
    <mergeCell ref="A22:I22"/>
    <mergeCell ref="B24:J24"/>
    <mergeCell ref="L24:L30"/>
    <mergeCell ref="M24:M30"/>
    <mergeCell ref="N24:N30"/>
    <mergeCell ref="B25:J25"/>
    <mergeCell ref="B26:J26"/>
    <mergeCell ref="B27:J27"/>
    <mergeCell ref="B30:J30"/>
    <mergeCell ref="B15:J15"/>
    <mergeCell ref="B118:D118"/>
    <mergeCell ref="B31:J31"/>
    <mergeCell ref="B33:K33"/>
    <mergeCell ref="A36:I36"/>
    <mergeCell ref="B38:J38"/>
    <mergeCell ref="L38:L44"/>
    <mergeCell ref="L87:L93"/>
    <mergeCell ref="N87:N93"/>
    <mergeCell ref="M87:M93"/>
    <mergeCell ref="N38:N44"/>
    <mergeCell ref="B39:J39"/>
    <mergeCell ref="B40:J40"/>
    <mergeCell ref="B41:J41"/>
    <mergeCell ref="B42:J42"/>
    <mergeCell ref="B43:J43"/>
    <mergeCell ref="B44:J44"/>
    <mergeCell ref="M38:M44"/>
    <mergeCell ref="B60:J60"/>
    <mergeCell ref="B45:J45"/>
    <mergeCell ref="B47:K47"/>
    <mergeCell ref="A50:I50"/>
    <mergeCell ref="B52:J52"/>
    <mergeCell ref="B56:J56"/>
    <mergeCell ref="B57:J57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scale="26" orientation="landscape" r:id="rId1"/>
  <headerFooter>
    <oddFooter>&amp;A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17</vt:i4>
      </vt:variant>
    </vt:vector>
  </HeadingPairs>
  <TitlesOfParts>
    <vt:vector size="18" baseType="lpstr">
      <vt:lpstr>Evaluation</vt:lpstr>
      <vt:lpstr>Evaluation!_CC</vt:lpstr>
      <vt:lpstr>Evaluation!_CIC</vt:lpstr>
      <vt:lpstr>Evaluation!_CIC1</vt:lpstr>
      <vt:lpstr>Evaluation!_CIC2</vt:lpstr>
      <vt:lpstr>Evaluation!_CONST</vt:lpstr>
      <vt:lpstr>Evaluation!_DUP</vt:lpstr>
      <vt:lpstr>Evaluation!_FCN</vt:lpstr>
      <vt:lpstr>_REF</vt:lpstr>
      <vt:lpstr>Evaluation!_SP</vt:lpstr>
      <vt:lpstr>Evaluation!_TDA</vt:lpstr>
      <vt:lpstr>Evaluation!_VCN</vt:lpstr>
      <vt:lpstr>Evaluation!_VCN1</vt:lpstr>
      <vt:lpstr>Evaluation!_VCN2</vt:lpstr>
      <vt:lpstr>Evaluation!FCT</vt:lpstr>
      <vt:lpstr>Evaluation!Print_Area</vt:lpstr>
      <vt:lpstr>Evaluation!total</vt:lpstr>
      <vt:lpstr>Evaluation!Zone_d_impression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Poulin</dc:creator>
  <cp:lastModifiedBy>Pierre Poulin</cp:lastModifiedBy>
  <cp:lastPrinted>2022-02-18T14:24:18Z</cp:lastPrinted>
  <dcterms:created xsi:type="dcterms:W3CDTF">2018-05-29T15:56:09Z</dcterms:created>
  <dcterms:modified xsi:type="dcterms:W3CDTF">2022-02-18T14:24:21Z</dcterms:modified>
</cp:coreProperties>
</file>